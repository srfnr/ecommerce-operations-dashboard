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eri\Desktop\"/>
    </mc:Choice>
  </mc:AlternateContent>
  <xr:revisionPtr revIDLastSave="0" documentId="13_ncr:1_{C2173508-2E6F-4FB3-B6A6-EE44A1ECA4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  <sheet name="Data Dictionary" sheetId="2" r:id="rId2"/>
  </sheets>
  <definedNames>
    <definedName name="_xlnm._FilterDatabase" localSheetId="0" hidden="1">Orders!$A$1:$L$1001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/>
  <c r="N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</calcChain>
</file>

<file path=xl/sharedStrings.xml><?xml version="1.0" encoding="utf-8"?>
<sst xmlns="http://schemas.openxmlformats.org/spreadsheetml/2006/main" count="7042" uniqueCount="1156">
  <si>
    <t>Order ID</t>
  </si>
  <si>
    <t>Date</t>
  </si>
  <si>
    <t>Customer</t>
  </si>
  <si>
    <t>Product</t>
  </si>
  <si>
    <t>Category</t>
  </si>
  <si>
    <t>Quantity</t>
  </si>
  <si>
    <t>Revenue</t>
  </si>
  <si>
    <t>Cost</t>
  </si>
  <si>
    <t>Delivery Date</t>
  </si>
  <si>
    <t>Region</t>
  </si>
  <si>
    <t>Warehouse</t>
  </si>
  <si>
    <t>Status</t>
  </si>
  <si>
    <t>ORD100183</t>
  </si>
  <si>
    <t>Aslı Şahin</t>
  </si>
  <si>
    <t>Water Bottle</t>
  </si>
  <si>
    <t>Sports</t>
  </si>
  <si>
    <t>Ege</t>
  </si>
  <si>
    <t>WH-Izmir</t>
  </si>
  <si>
    <t>Returned</t>
  </si>
  <si>
    <t>ORD100954</t>
  </si>
  <si>
    <t>Berk Arslan</t>
  </si>
  <si>
    <t>Face Moisturizer</t>
  </si>
  <si>
    <t>Beauty</t>
  </si>
  <si>
    <t>Akdeniz</t>
  </si>
  <si>
    <t>WH-Adana</t>
  </si>
  <si>
    <t>Delivered</t>
  </si>
  <si>
    <t>ORD100215</t>
  </si>
  <si>
    <t>İrem Kurt</t>
  </si>
  <si>
    <t>Premium Pen Set</t>
  </si>
  <si>
    <t>Stationery</t>
  </si>
  <si>
    <t>Marmara</t>
  </si>
  <si>
    <t>ORD100003</t>
  </si>
  <si>
    <t>Seda Doğan</t>
  </si>
  <si>
    <t>Hoodie</t>
  </si>
  <si>
    <t>Fashion</t>
  </si>
  <si>
    <t>WH-Istanbul</t>
  </si>
  <si>
    <t>ORD100381</t>
  </si>
  <si>
    <t>Ahmet Yılmaz</t>
  </si>
  <si>
    <t>Smartphone X</t>
  </si>
  <si>
    <t>Electronics</t>
  </si>
  <si>
    <t>ORD100511</t>
  </si>
  <si>
    <t>Mert Koç</t>
  </si>
  <si>
    <t>Pending</t>
  </si>
  <si>
    <t>ORD100544</t>
  </si>
  <si>
    <t>Kaan Arslan</t>
  </si>
  <si>
    <t>Denim Jeans</t>
  </si>
  <si>
    <t>İç Anadolu</t>
  </si>
  <si>
    <t>WH-Ankara</t>
  </si>
  <si>
    <t>ORD100914</t>
  </si>
  <si>
    <t>Burak Kılıç</t>
  </si>
  <si>
    <t>ORD100965</t>
  </si>
  <si>
    <t>Sneakers</t>
  </si>
  <si>
    <t>Doğu Anadolu</t>
  </si>
  <si>
    <t>ORD100994</t>
  </si>
  <si>
    <t>Tolga Demir</t>
  </si>
  <si>
    <t>4K Monitor</t>
  </si>
  <si>
    <t>ORD100211</t>
  </si>
  <si>
    <t>Elif Doğan</t>
  </si>
  <si>
    <t>Laptop Pro 14</t>
  </si>
  <si>
    <t>ORD100106</t>
  </si>
  <si>
    <t>Oğuz Aydın</t>
  </si>
  <si>
    <t>Storage Box Set</t>
  </si>
  <si>
    <t>Home</t>
  </si>
  <si>
    <t>ORD100563</t>
  </si>
  <si>
    <t>Zeynep Yıldız</t>
  </si>
  <si>
    <t>Desk Lamp</t>
  </si>
  <si>
    <t>ORD100843</t>
  </si>
  <si>
    <t>Ceren Yıldız</t>
  </si>
  <si>
    <t>ORD100370</t>
  </si>
  <si>
    <t>Zeynep Erdoğan</t>
  </si>
  <si>
    <t>Air Fryer</t>
  </si>
  <si>
    <t>ORD100534</t>
  </si>
  <si>
    <t>Melis Aksoy</t>
  </si>
  <si>
    <t>ORD100596</t>
  </si>
  <si>
    <t>ORD100664</t>
  </si>
  <si>
    <t>Ayşe Çelik</t>
  </si>
  <si>
    <t>Office Chair</t>
  </si>
  <si>
    <t>Office</t>
  </si>
  <si>
    <t>ORD100347</t>
  </si>
  <si>
    <t>Mert Demir</t>
  </si>
  <si>
    <t>Monitor Stand</t>
  </si>
  <si>
    <t>ORD100669</t>
  </si>
  <si>
    <t>Oğuz Polat</t>
  </si>
  <si>
    <t>Dumbbell Set</t>
  </si>
  <si>
    <t>ORD100247</t>
  </si>
  <si>
    <t>ORD100286</t>
  </si>
  <si>
    <t>Desk Organizer</t>
  </si>
  <si>
    <t>ORD100778</t>
  </si>
  <si>
    <t>Nisa Erdoğan</t>
  </si>
  <si>
    <t>ORD100028</t>
  </si>
  <si>
    <t>Buse Kaya</t>
  </si>
  <si>
    <t>ORD100190</t>
  </si>
  <si>
    <t>Seda Tekin</t>
  </si>
  <si>
    <t>ORD100246</t>
  </si>
  <si>
    <t>Yasemin Doğan</t>
  </si>
  <si>
    <t>ORD100682</t>
  </si>
  <si>
    <t>Fatma Kaya</t>
  </si>
  <si>
    <t>Tablet 10</t>
  </si>
  <si>
    <t>ORD100421</t>
  </si>
  <si>
    <t>Barış Aydın</t>
  </si>
  <si>
    <t>Sunglasses</t>
  </si>
  <si>
    <t>Karadeniz</t>
  </si>
  <si>
    <t>ORD100863</t>
  </si>
  <si>
    <t>Cancelled</t>
  </si>
  <si>
    <t>ORD100213</t>
  </si>
  <si>
    <t>Burak Yılmaz</t>
  </si>
  <si>
    <t>ORD100407</t>
  </si>
  <si>
    <t>Emre Arslan</t>
  </si>
  <si>
    <t>Perfume</t>
  </si>
  <si>
    <t>ORD100575</t>
  </si>
  <si>
    <t>Smart Watch</t>
  </si>
  <si>
    <t>ORD100702</t>
  </si>
  <si>
    <t>Nisa Yıldız</t>
  </si>
  <si>
    <t>Running Shoes</t>
  </si>
  <si>
    <t>ORD100508</t>
  </si>
  <si>
    <t>ORD100553</t>
  </si>
  <si>
    <t>Selin Aksoy</t>
  </si>
  <si>
    <t>ORD100036</t>
  </si>
  <si>
    <t>ORD100255</t>
  </si>
  <si>
    <t>USB-C Hub</t>
  </si>
  <si>
    <t>ORD100038</t>
  </si>
  <si>
    <t>Fatma Aslan</t>
  </si>
  <si>
    <t>ORD100164</t>
  </si>
  <si>
    <t>ORD100225</t>
  </si>
  <si>
    <t>Arda Özkan</t>
  </si>
  <si>
    <t>Coffee Maker</t>
  </si>
  <si>
    <t>ORD100294</t>
  </si>
  <si>
    <t>Notebook Set</t>
  </si>
  <si>
    <t>ORD100285</t>
  </si>
  <si>
    <t>Wireless Headphones</t>
  </si>
  <si>
    <t>ORD100079</t>
  </si>
  <si>
    <t>ORD100047</t>
  </si>
  <si>
    <t>Can Aydın</t>
  </si>
  <si>
    <t>ORD100158</t>
  </si>
  <si>
    <t>ORD100276</t>
  </si>
  <si>
    <t>Bedside Table</t>
  </si>
  <si>
    <t>ORD100352</t>
  </si>
  <si>
    <t>Selin Öztürk</t>
  </si>
  <si>
    <t>ORD100569</t>
  </si>
  <si>
    <t>Derya Şahin</t>
  </si>
  <si>
    <t>ORD100754</t>
  </si>
  <si>
    <t>ORD100834</t>
  </si>
  <si>
    <t>Mehmet Öztürk</t>
  </si>
  <si>
    <t>ORD100475</t>
  </si>
  <si>
    <t>ORD100071</t>
  </si>
  <si>
    <t>ORD100185</t>
  </si>
  <si>
    <t>Electric Toothbrush</t>
  </si>
  <si>
    <t>ORD100451</t>
  </si>
  <si>
    <t>ORD100486</t>
  </si>
  <si>
    <t>Can Polat</t>
  </si>
  <si>
    <t>Webcam HD</t>
  </si>
  <si>
    <t>ORD100697</t>
  </si>
  <si>
    <t>ORD100928</t>
  </si>
  <si>
    <t>Backpack</t>
  </si>
  <si>
    <t>ORD100134</t>
  </si>
  <si>
    <t>Ceren Erdoğan</t>
  </si>
  <si>
    <t>ORD100603</t>
  </si>
  <si>
    <t>ORD100618</t>
  </si>
  <si>
    <t>ORD100180</t>
  </si>
  <si>
    <t>Mechanical Keyboard</t>
  </si>
  <si>
    <t>ORD100248</t>
  </si>
  <si>
    <t>Arda Çelik</t>
  </si>
  <si>
    <t>ORD100996</t>
  </si>
  <si>
    <t>Bluetooth Speaker</t>
  </si>
  <si>
    <t>ORD100118</t>
  </si>
  <si>
    <t>ORD100203</t>
  </si>
  <si>
    <t>ORD100363</t>
  </si>
  <si>
    <t>ORD100498</t>
  </si>
  <si>
    <t>Planner 2025</t>
  </si>
  <si>
    <t>ORD100284</t>
  </si>
  <si>
    <t>ORD100770</t>
  </si>
  <si>
    <t>Barış Polat</t>
  </si>
  <si>
    <t>ORD100849</t>
  </si>
  <si>
    <t>ORD100853</t>
  </si>
  <si>
    <t>Onur Koç</t>
  </si>
  <si>
    <t>ORD100936</t>
  </si>
  <si>
    <t>Melis Öztürk</t>
  </si>
  <si>
    <t>Winter Jacket</t>
  </si>
  <si>
    <t>ORD100060</t>
  </si>
  <si>
    <t>Leather Wallet</t>
  </si>
  <si>
    <t>ORD100127</t>
  </si>
  <si>
    <t>Tolga Koç</t>
  </si>
  <si>
    <t>ORD100193</t>
  </si>
  <si>
    <t>ORD100340</t>
  </si>
  <si>
    <t>Deniz Kılıç</t>
  </si>
  <si>
    <t>ORD100438</t>
  </si>
  <si>
    <t>ORD100488</t>
  </si>
  <si>
    <t>Yoga Mat</t>
  </si>
  <si>
    <t>ORD100581</t>
  </si>
  <si>
    <t>ORD100019</t>
  </si>
  <si>
    <t>ORD100032</t>
  </si>
  <si>
    <t>Kaan Güneş</t>
  </si>
  <si>
    <t>ORD100058</t>
  </si>
  <si>
    <t>ORD100252</t>
  </si>
  <si>
    <t>ORD100424</t>
  </si>
  <si>
    <t>Buse Aslan</t>
  </si>
  <si>
    <t>ORD100480</t>
  </si>
  <si>
    <t>ORD100916</t>
  </si>
  <si>
    <t>ORD100112</t>
  </si>
  <si>
    <t>ORD100964</t>
  </si>
  <si>
    <t>Ece Aslan</t>
  </si>
  <si>
    <t>ORD100316</t>
  </si>
  <si>
    <t>ORD100688</t>
  </si>
  <si>
    <t>ORD100644</t>
  </si>
  <si>
    <t>Emre Güneş</t>
  </si>
  <si>
    <t>ORD100888</t>
  </si>
  <si>
    <t>ORD100021</t>
  </si>
  <si>
    <t>ORD100369</t>
  </si>
  <si>
    <t>Fitness Tracker</t>
  </si>
  <si>
    <t>ORD100420</t>
  </si>
  <si>
    <t>Ece Kaya</t>
  </si>
  <si>
    <t>ORD100956</t>
  </si>
  <si>
    <t>ORD100566</t>
  </si>
  <si>
    <t>ORD100987</t>
  </si>
  <si>
    <t>ORD100734</t>
  </si>
  <si>
    <t>Vacuum Cleaner</t>
  </si>
  <si>
    <t>ORD100145</t>
  </si>
  <si>
    <t>Yasemin Tekin</t>
  </si>
  <si>
    <t>ORD100210</t>
  </si>
  <si>
    <t>Cotton T-Shirt</t>
  </si>
  <si>
    <t>ORD100467</t>
  </si>
  <si>
    <t>ORD100472</t>
  </si>
  <si>
    <t>Onur Demir</t>
  </si>
  <si>
    <t>ORD100567</t>
  </si>
  <si>
    <t>Ergonomic Keyboard</t>
  </si>
  <si>
    <t>ORD100601</t>
  </si>
  <si>
    <t>ORD100671</t>
  </si>
  <si>
    <t>ORD100952</t>
  </si>
  <si>
    <t>Ayşe Özkan</t>
  </si>
  <si>
    <t>ORD100555</t>
  </si>
  <si>
    <t>ORD100245</t>
  </si>
  <si>
    <t>ORD100298</t>
  </si>
  <si>
    <t>ORD100474</t>
  </si>
  <si>
    <t>ORD100362</t>
  </si>
  <si>
    <t>ORD100519</t>
  </si>
  <si>
    <t>Sports Backpack</t>
  </si>
  <si>
    <t>ORD100878</t>
  </si>
  <si>
    <t>ORD100880</t>
  </si>
  <si>
    <t>ORD100010</t>
  </si>
  <si>
    <t>ORD100114</t>
  </si>
  <si>
    <t>ORD100471</t>
  </si>
  <si>
    <t>ORD100667</t>
  </si>
  <si>
    <t>ORD100759</t>
  </si>
  <si>
    <t>Elif Tekin</t>
  </si>
  <si>
    <t>ORD100978</t>
  </si>
  <si>
    <t>ORD100214</t>
  </si>
  <si>
    <t>Kerem Özkan</t>
  </si>
  <si>
    <t>ORD100242</t>
  </si>
  <si>
    <t>ORD100719</t>
  </si>
  <si>
    <t>ORD100458</t>
  </si>
  <si>
    <t>ORD100136</t>
  </si>
  <si>
    <t>ORD100327</t>
  </si>
  <si>
    <t>ORD100935</t>
  </si>
  <si>
    <t>ORD100189</t>
  </si>
  <si>
    <t>ORD100222</t>
  </si>
  <si>
    <t>ORD100435</t>
  </si>
  <si>
    <t>ORD100459</t>
  </si>
  <si>
    <t>ORD100661</t>
  </si>
  <si>
    <t>ORD100269</t>
  </si>
  <si>
    <t>İrem Şahin</t>
  </si>
  <si>
    <t>ORD100608</t>
  </si>
  <si>
    <t>ORD100616</t>
  </si>
  <si>
    <t>ORD100643</t>
  </si>
  <si>
    <t>ORD100739</t>
  </si>
  <si>
    <t>ORD100293</t>
  </si>
  <si>
    <t>ORD100462</t>
  </si>
  <si>
    <t>Shampoo</t>
  </si>
  <si>
    <t>ORD100523</t>
  </si>
  <si>
    <t>ORD100329</t>
  </si>
  <si>
    <t>Deniz Yılmaz</t>
  </si>
  <si>
    <t>Wireless Mouse</t>
  </si>
  <si>
    <t>ORD100635</t>
  </si>
  <si>
    <t>ORD100086</t>
  </si>
  <si>
    <t>ORD100282</t>
  </si>
  <si>
    <t>ORD100422</t>
  </si>
  <si>
    <t>ORD100648</t>
  </si>
  <si>
    <t>ORD100306</t>
  </si>
  <si>
    <t>ORD100432</t>
  </si>
  <si>
    <t>Mehmet Aksoy</t>
  </si>
  <si>
    <t>ORD100963</t>
  </si>
  <si>
    <t>ORD100992</t>
  </si>
  <si>
    <t>ORD100059</t>
  </si>
  <si>
    <t>Aslı Kurt</t>
  </si>
  <si>
    <t>ORD100322</t>
  </si>
  <si>
    <t>ORD100821</t>
  </si>
  <si>
    <t>ORD100405</t>
  </si>
  <si>
    <t>ORD100392</t>
  </si>
  <si>
    <t>ORD100235</t>
  </si>
  <si>
    <t>ORD100289</t>
  </si>
  <si>
    <t>Hair Dryer</t>
  </si>
  <si>
    <t>ORD100353</t>
  </si>
  <si>
    <t>ORD100791</t>
  </si>
  <si>
    <t>ORD100720</t>
  </si>
  <si>
    <t>ORD100848</t>
  </si>
  <si>
    <t>ORD100881</t>
  </si>
  <si>
    <t>ORD100055</t>
  </si>
  <si>
    <t>ORD100326</t>
  </si>
  <si>
    <t>ORD100400</t>
  </si>
  <si>
    <t>ORD100521</t>
  </si>
  <si>
    <t>ORD100559</t>
  </si>
  <si>
    <t>Standing Desk</t>
  </si>
  <si>
    <t>ORD100632</t>
  </si>
  <si>
    <t>ORD100837</t>
  </si>
  <si>
    <t>ORD100517</t>
  </si>
  <si>
    <t>ORD100068</t>
  </si>
  <si>
    <t>ORD100077</t>
  </si>
  <si>
    <t>ORD100437</t>
  </si>
  <si>
    <t>ORD100501</t>
  </si>
  <si>
    <t>Skin Care Set</t>
  </si>
  <si>
    <t>ORD100646</t>
  </si>
  <si>
    <t>ORD100657</t>
  </si>
  <si>
    <t>ORD100415</t>
  </si>
  <si>
    <t>ORD100338</t>
  </si>
  <si>
    <t>ORD100925</t>
  </si>
  <si>
    <t>ORD100325</t>
  </si>
  <si>
    <t>ORD100611</t>
  </si>
  <si>
    <t>Ahmet Kılıç</t>
  </si>
  <si>
    <t>ORD100663</t>
  </si>
  <si>
    <t>ORD100677</t>
  </si>
  <si>
    <t>ORD100799</t>
  </si>
  <si>
    <t>ORD100872</t>
  </si>
  <si>
    <t>ORD100020</t>
  </si>
  <si>
    <t>ORD100561</t>
  </si>
  <si>
    <t>ORD100683</t>
  </si>
  <si>
    <t>ORD100833</t>
  </si>
  <si>
    <t>Kerem Çelik</t>
  </si>
  <si>
    <t>ORD100944</t>
  </si>
  <si>
    <t>ORD100408</t>
  </si>
  <si>
    <t>ORD100898</t>
  </si>
  <si>
    <t>ORD100478</t>
  </si>
  <si>
    <t>ORD100906</t>
  </si>
  <si>
    <t>ORD100436</t>
  </si>
  <si>
    <t>ORD100738</t>
  </si>
  <si>
    <t>ORD100823</t>
  </si>
  <si>
    <t>ORD100836</t>
  </si>
  <si>
    <t>ORD100907</t>
  </si>
  <si>
    <t>ORD100951</t>
  </si>
  <si>
    <t>ORD100161</t>
  </si>
  <si>
    <t>ORD100220</t>
  </si>
  <si>
    <t>ORD100231</t>
  </si>
  <si>
    <t>ORD100913</t>
  </si>
  <si>
    <t>ORD100577</t>
  </si>
  <si>
    <t>ORD100652</t>
  </si>
  <si>
    <t>ORD100938</t>
  </si>
  <si>
    <t>ORD100321</t>
  </si>
  <si>
    <t>ORD100510</t>
  </si>
  <si>
    <t>ORD100631</t>
  </si>
  <si>
    <t>ORD100096</t>
  </si>
  <si>
    <t>ORD100391</t>
  </si>
  <si>
    <t>ORD100444</t>
  </si>
  <si>
    <t>ORD100686</t>
  </si>
  <si>
    <t>ORD100443</t>
  </si>
  <si>
    <t>ORD100557</t>
  </si>
  <si>
    <t>ORD100666</t>
  </si>
  <si>
    <t>ORD100376</t>
  </si>
  <si>
    <t>ORD100547</t>
  </si>
  <si>
    <t>ORD100375</t>
  </si>
  <si>
    <t>ORD100537</t>
  </si>
  <si>
    <t>ORD100658</t>
  </si>
  <si>
    <t>ORD100968</t>
  </si>
  <si>
    <t>ORD100359</t>
  </si>
  <si>
    <t>ORD100866</t>
  </si>
  <si>
    <t>ORD100216</t>
  </si>
  <si>
    <t>ORD100223</t>
  </si>
  <si>
    <t>ORD100427</t>
  </si>
  <si>
    <t>ORD100985</t>
  </si>
  <si>
    <t>ORD100452</t>
  </si>
  <si>
    <t>ORD100825</t>
  </si>
  <si>
    <t>ORD100929</t>
  </si>
  <si>
    <t>ORD100099</t>
  </si>
  <si>
    <t>ORD100318</t>
  </si>
  <si>
    <t>ORD100507</t>
  </si>
  <si>
    <t>ORD100765</t>
  </si>
  <si>
    <t>ORD100972</t>
  </si>
  <si>
    <t>ORD100244</t>
  </si>
  <si>
    <t>ORD100527</t>
  </si>
  <si>
    <t>ORD100865</t>
  </si>
  <si>
    <t>ORD100515</t>
  </si>
  <si>
    <t>ORD100630</t>
  </si>
  <si>
    <t>ORD100659</t>
  </si>
  <si>
    <t>ORD100757</t>
  </si>
  <si>
    <t>ORD100075</t>
  </si>
  <si>
    <t>Derya Kurt</t>
  </si>
  <si>
    <t>ORD100167</t>
  </si>
  <si>
    <t>ORD100541</t>
  </si>
  <si>
    <t>ORD100813</t>
  </si>
  <si>
    <t>ORD100078</t>
  </si>
  <si>
    <t>ORD100388</t>
  </si>
  <si>
    <t>ORD100485</t>
  </si>
  <si>
    <t>ORD100788</t>
  </si>
  <si>
    <t>ORD100812</t>
  </si>
  <si>
    <t>ORD100891</t>
  </si>
  <si>
    <t>ORD100529</t>
  </si>
  <si>
    <t>ORD100034</t>
  </si>
  <si>
    <t>ORD100113</t>
  </si>
  <si>
    <t>ORD100224</t>
  </si>
  <si>
    <t>ORD100830</t>
  </si>
  <si>
    <t>ORD100912</t>
  </si>
  <si>
    <t>ORD100126</t>
  </si>
  <si>
    <t>ORD100349</t>
  </si>
  <si>
    <t>ORD100732</t>
  </si>
  <si>
    <t>ORD100160</t>
  </si>
  <si>
    <t>ORD100503</t>
  </si>
  <si>
    <t>ORD100910</t>
  </si>
  <si>
    <t>ORD100022</t>
  </si>
  <si>
    <t>ORD100173</t>
  </si>
  <si>
    <t>ORD100687</t>
  </si>
  <si>
    <t>ORD100311</t>
  </si>
  <si>
    <t>ORD100442</t>
  </si>
  <si>
    <t>ORD100780</t>
  </si>
  <si>
    <t>ORD100864</t>
  </si>
  <si>
    <t>ORD100966</t>
  </si>
  <si>
    <t>ORD100633</t>
  </si>
  <si>
    <t>ORD100717</t>
  </si>
  <si>
    <t>ORD100781</t>
  </si>
  <si>
    <t>ORD100804</t>
  </si>
  <si>
    <t>ORD100062</t>
  </si>
  <si>
    <t>ORD100102</t>
  </si>
  <si>
    <t>ORD100109</t>
  </si>
  <si>
    <t>ORD100441</t>
  </si>
  <si>
    <t>ORD100572</t>
  </si>
  <si>
    <t>ORD100640</t>
  </si>
  <si>
    <t>ORD100179</t>
  </si>
  <si>
    <t>ORD100290</t>
  </si>
  <si>
    <t>ORD100638</t>
  </si>
  <si>
    <t>ORD100018</t>
  </si>
  <si>
    <t>ORD100820</t>
  </si>
  <si>
    <t>ORD100525</t>
  </si>
  <si>
    <t>ORD100645</t>
  </si>
  <si>
    <t>ORD100743</t>
  </si>
  <si>
    <t>ORD100901</t>
  </si>
  <si>
    <t>ORD100250</t>
  </si>
  <si>
    <t>ORD100676</t>
  </si>
  <si>
    <t>ORD100680</t>
  </si>
  <si>
    <t>ORD100731</t>
  </si>
  <si>
    <t>ORD100762</t>
  </si>
  <si>
    <t>ORD100271</t>
  </si>
  <si>
    <t>ORD100500</t>
  </si>
  <si>
    <t>ORD100594</t>
  </si>
  <si>
    <t>ORD100958</t>
  </si>
  <si>
    <t>ORD100307</t>
  </si>
  <si>
    <t>ORD100551</t>
  </si>
  <si>
    <t>ORD100097</t>
  </si>
  <si>
    <t>ORD100887</t>
  </si>
  <si>
    <t>ORD100950</t>
  </si>
  <si>
    <t>ORD100358</t>
  </si>
  <si>
    <t>ORD100583</t>
  </si>
  <si>
    <t>ORD100711</t>
  </si>
  <si>
    <t>ORD100133</t>
  </si>
  <si>
    <t>ORD100249</t>
  </si>
  <si>
    <t>ORD100509</t>
  </si>
  <si>
    <t>ORD100749</t>
  </si>
  <si>
    <t>ORD100761</t>
  </si>
  <si>
    <t>ORD100775</t>
  </si>
  <si>
    <t>ORD100194</t>
  </si>
  <si>
    <t>ORD100585</t>
  </si>
  <si>
    <t>ORD100354</t>
  </si>
  <si>
    <t>ORD100355</t>
  </si>
  <si>
    <t>ORD100975</t>
  </si>
  <si>
    <t>ORD100380</t>
  </si>
  <si>
    <t>ORD100446</t>
  </si>
  <si>
    <t>ORD100639</t>
  </si>
  <si>
    <t>ORD100789</t>
  </si>
  <si>
    <t>ORD100440</t>
  </si>
  <si>
    <t>ORD100532</t>
  </si>
  <si>
    <t>ORD100883</t>
  </si>
  <si>
    <t>ORD100993</t>
  </si>
  <si>
    <t>ORD100207</t>
  </si>
  <si>
    <t>ORD100237</t>
  </si>
  <si>
    <t>ORD100772</t>
  </si>
  <si>
    <t>ORD100188</t>
  </si>
  <si>
    <t>ORD100728</t>
  </si>
  <si>
    <t>ORD100862</t>
  </si>
  <si>
    <t>ORD100947</t>
  </si>
  <si>
    <t>ORD100345</t>
  </si>
  <si>
    <t>ORD100218</t>
  </si>
  <si>
    <t>ORD100675</t>
  </si>
  <si>
    <t>ORD100751</t>
  </si>
  <si>
    <t>ORD100029</t>
  </si>
  <si>
    <t>ORD100052</t>
  </si>
  <si>
    <t>ORD100085</t>
  </si>
  <si>
    <t>ORD100240</t>
  </si>
  <si>
    <t>ORD100056</t>
  </si>
  <si>
    <t>ORD100831</t>
  </si>
  <si>
    <t>ORD100033</t>
  </si>
  <si>
    <t>ORD100267</t>
  </si>
  <si>
    <t>ORD100546</t>
  </si>
  <si>
    <t>Berk Güneş</t>
  </si>
  <si>
    <t>ORD100574</t>
  </si>
  <si>
    <t>ORD100597</t>
  </si>
  <si>
    <t>ORD100729</t>
  </si>
  <si>
    <t>ORD100851</t>
  </si>
  <si>
    <t>ORD100923</t>
  </si>
  <si>
    <t>ORD101000</t>
  </si>
  <si>
    <t>ORD100524</t>
  </si>
  <si>
    <t>ORD100628</t>
  </si>
  <si>
    <t>ORD100747</t>
  </si>
  <si>
    <t>ORD100044</t>
  </si>
  <si>
    <t>ORD100302</t>
  </si>
  <si>
    <t>ORD100356</t>
  </si>
  <si>
    <t>ORD100526</t>
  </si>
  <si>
    <t>ORD100933</t>
  </si>
  <si>
    <t>ORD100110</t>
  </si>
  <si>
    <t>ORD100175</t>
  </si>
  <si>
    <t>ORD100580</t>
  </si>
  <si>
    <t>ORD100774</t>
  </si>
  <si>
    <t>ORD100806</t>
  </si>
  <si>
    <t>ORD100015</t>
  </si>
  <si>
    <t>ORD100069</t>
  </si>
  <si>
    <t>ORD100144</t>
  </si>
  <si>
    <t>ORD100157</t>
  </si>
  <si>
    <t>ORD100234</t>
  </si>
  <si>
    <t>ORD100700</t>
  </si>
  <si>
    <t>ORD100195</t>
  </si>
  <si>
    <t>ORD100636</t>
  </si>
  <si>
    <t>ORD100690</t>
  </si>
  <si>
    <t>ORD100802</t>
  </si>
  <si>
    <t>ORD100153</t>
  </si>
  <si>
    <t>ORD100001</t>
  </si>
  <si>
    <t>ORD100051</t>
  </si>
  <si>
    <t>ORD100043</t>
  </si>
  <si>
    <t>ORD100777</t>
  </si>
  <si>
    <t>ORD100074</t>
  </si>
  <si>
    <t>ORD100092</t>
  </si>
  <si>
    <t>ORD100330</t>
  </si>
  <si>
    <t>ORD100651</t>
  </si>
  <si>
    <t>ORD100656</t>
  </si>
  <si>
    <t>ORD100768</t>
  </si>
  <si>
    <t>ORD100005</t>
  </si>
  <si>
    <t>ORD100670</t>
  </si>
  <si>
    <t>ORD100200</t>
  </si>
  <si>
    <t>ORD100562</t>
  </si>
  <si>
    <t>ORD100784</t>
  </si>
  <si>
    <t>ORD100084</t>
  </si>
  <si>
    <t>ORD100125</t>
  </si>
  <si>
    <t>ORD100335</t>
  </si>
  <si>
    <t>ORD100382</t>
  </si>
  <si>
    <t>ORD100915</t>
  </si>
  <si>
    <t>ORD100946</t>
  </si>
  <si>
    <t>ORD100083</t>
  </si>
  <si>
    <t>ORD100312</t>
  </si>
  <si>
    <t>ORD100868</t>
  </si>
  <si>
    <t>ORD100007</t>
  </si>
  <si>
    <t>ORD100100</t>
  </si>
  <si>
    <t>ORD100740</t>
  </si>
  <si>
    <t>ORD100877</t>
  </si>
  <si>
    <t>ORD100894</t>
  </si>
  <si>
    <t>ORD100922</t>
  </si>
  <si>
    <t>ORD100137</t>
  </si>
  <si>
    <t>ORD100283</t>
  </si>
  <si>
    <t>ORD100344</t>
  </si>
  <si>
    <t>ORD100365</t>
  </si>
  <si>
    <t>ORD100818</t>
  </si>
  <si>
    <t>ORD100398</t>
  </si>
  <si>
    <t>ORD100037</t>
  </si>
  <si>
    <t>ORD100499</t>
  </si>
  <si>
    <t>ORD100721</t>
  </si>
  <si>
    <t>ORD100949</t>
  </si>
  <si>
    <t>ORD100960</t>
  </si>
  <si>
    <t>ORD100490</t>
  </si>
  <si>
    <t>ORD100495</t>
  </si>
  <si>
    <t>ORD100094</t>
  </si>
  <si>
    <t>ORD100410</t>
  </si>
  <si>
    <t>ORD100959</t>
  </si>
  <si>
    <t>ORD100009</t>
  </si>
  <si>
    <t>ORD100176</t>
  </si>
  <si>
    <t>ORD100918</t>
  </si>
  <si>
    <t>ORD100050</t>
  </si>
  <si>
    <t>ORD100969</t>
  </si>
  <si>
    <t>ORD100588</t>
  </si>
  <si>
    <t>ORD100140</t>
  </si>
  <si>
    <t>ORD100156</t>
  </si>
  <si>
    <t>ORD100336</t>
  </si>
  <si>
    <t>ORD100614</t>
  </si>
  <si>
    <t>ORD100716</t>
  </si>
  <si>
    <t>ORD100807</t>
  </si>
  <si>
    <t>ORD100924</t>
  </si>
  <si>
    <t>ORD100148</t>
  </si>
  <si>
    <t>ORD100390</t>
  </si>
  <si>
    <t>ORD100433</t>
  </si>
  <si>
    <t>ORD100895</t>
  </si>
  <si>
    <t>ORD100939</t>
  </si>
  <si>
    <t>ORD100116</t>
  </si>
  <si>
    <t>ORD100151</t>
  </si>
  <si>
    <t>ORD100257</t>
  </si>
  <si>
    <t>ORD100272</t>
  </si>
  <si>
    <t>ORD100811</t>
  </si>
  <si>
    <t>ORD100178</t>
  </si>
  <si>
    <t>ORD100253</t>
  </si>
  <si>
    <t>ORD100842</t>
  </si>
  <si>
    <t>ORD100186</t>
  </si>
  <si>
    <t>ORD100414</t>
  </si>
  <si>
    <t>ORD100705</t>
  </si>
  <si>
    <t>ORD100718</t>
  </si>
  <si>
    <t>ORD100845</t>
  </si>
  <si>
    <t>ORD100737</t>
  </si>
  <si>
    <t>ORD100057</t>
  </si>
  <si>
    <t>ORD100147</t>
  </si>
  <si>
    <t>ORD100932</t>
  </si>
  <si>
    <t>ORD100181</t>
  </si>
  <si>
    <t>ORD100650</t>
  </si>
  <si>
    <t>ORD100783</t>
  </si>
  <si>
    <t>ORD100945</t>
  </si>
  <si>
    <t>ORD100066</t>
  </si>
  <si>
    <t>ORD100067</t>
  </si>
  <si>
    <t>ORD100192</t>
  </si>
  <si>
    <t>ORD100708</t>
  </si>
  <si>
    <t>ORD100089</t>
  </si>
  <si>
    <t>ORD100328</t>
  </si>
  <si>
    <t>ORD100674</t>
  </si>
  <si>
    <t>ORD100288</t>
  </si>
  <si>
    <t>ORD100654</t>
  </si>
  <si>
    <t>ORD100798</t>
  </si>
  <si>
    <t>ORD100615</t>
  </si>
  <si>
    <t>ORD100383</t>
  </si>
  <si>
    <t>ORD100479</t>
  </si>
  <si>
    <t>ORD100983</t>
  </si>
  <si>
    <t>ORD100080</t>
  </si>
  <si>
    <t>ORD100254</t>
  </si>
  <si>
    <t>ORD100304</t>
  </si>
  <si>
    <t>ORD100542</t>
  </si>
  <si>
    <t>ORD100672</t>
  </si>
  <si>
    <t>ORD100771</t>
  </si>
  <si>
    <t>ORD100169</t>
  </si>
  <si>
    <t>ORD100426</t>
  </si>
  <si>
    <t>ORD100564</t>
  </si>
  <si>
    <t>ORD100733</t>
  </si>
  <si>
    <t>ORD100589</t>
  </si>
  <si>
    <t>ORD100855</t>
  </si>
  <si>
    <t>ORD100752</t>
  </si>
  <si>
    <t>ORD100917</t>
  </si>
  <si>
    <t>ORD100497</t>
  </si>
  <si>
    <t>ORD100027</t>
  </si>
  <si>
    <t>ORD100560</t>
  </si>
  <si>
    <t>ORD100735</t>
  </si>
  <si>
    <t>ORD100782</t>
  </si>
  <si>
    <t>ORD100814</t>
  </si>
  <si>
    <t>ORD100955</t>
  </si>
  <si>
    <t>ORD100502</t>
  </si>
  <si>
    <t>ORD100691</t>
  </si>
  <si>
    <t>ORD100871</t>
  </si>
  <si>
    <t>ORD100233</t>
  </si>
  <si>
    <t>ORD100187</t>
  </si>
  <si>
    <t>ORD100351</t>
  </si>
  <si>
    <t>ORD100695</t>
  </si>
  <si>
    <t>ORD100262</t>
  </si>
  <si>
    <t>ORD100482</t>
  </si>
  <si>
    <t>ORD100536</t>
  </si>
  <si>
    <t>ORD100785</t>
  </si>
  <si>
    <t>ORD100797</t>
  </si>
  <si>
    <t>ORD100332</t>
  </si>
  <si>
    <t>ORD100159</t>
  </si>
  <si>
    <t>ORD100373</t>
  </si>
  <si>
    <t>ORD100723</t>
  </si>
  <si>
    <t>ORD100976</t>
  </si>
  <si>
    <t>ORD100201</t>
  </si>
  <si>
    <t>ORD100514</t>
  </si>
  <si>
    <t>ORD100004</t>
  </si>
  <si>
    <t>ORD100065</t>
  </si>
  <si>
    <t>ORD100174</t>
  </si>
  <si>
    <t>ORD100582</t>
  </si>
  <si>
    <t>ORD100817</t>
  </si>
  <si>
    <t>ORD100948</t>
  </si>
  <si>
    <t>ORD100822</t>
  </si>
  <si>
    <t>ORD100168</t>
  </si>
  <si>
    <t>ORD100300</t>
  </si>
  <si>
    <t>ORD100339</t>
  </si>
  <si>
    <t>ORD100430</t>
  </si>
  <si>
    <t>ORD100908</t>
  </si>
  <si>
    <t>ORD100012</t>
  </si>
  <si>
    <t>ORD100172</t>
  </si>
  <si>
    <t>ORD100184</t>
  </si>
  <si>
    <t>ORD100484</t>
  </si>
  <si>
    <t>ORD100634</t>
  </si>
  <si>
    <t>ORD100477</t>
  </si>
  <si>
    <t>ORD100098</t>
  </si>
  <si>
    <t>ORD100238</t>
  </si>
  <si>
    <t>ORD100679</t>
  </si>
  <si>
    <t>ORD100988</t>
  </si>
  <si>
    <t>ORD100139</t>
  </si>
  <si>
    <t>ORD100204</t>
  </si>
  <si>
    <t>ORD100308</t>
  </si>
  <si>
    <t>ORD100742</t>
  </si>
  <si>
    <t>ORD100838</t>
  </si>
  <si>
    <t>ORD100263</t>
  </si>
  <si>
    <t>ORD100374</t>
  </si>
  <si>
    <t>ORD100429</t>
  </si>
  <si>
    <t>ORD100558</t>
  </si>
  <si>
    <t>ORD100763</t>
  </si>
  <si>
    <t>ORD100626</t>
  </si>
  <si>
    <t>ORD100808</t>
  </si>
  <si>
    <t>ORD100042</t>
  </si>
  <si>
    <t>ORD100309</t>
  </si>
  <si>
    <t>ORD100545</t>
  </si>
  <si>
    <t>ORD100590</t>
  </si>
  <si>
    <t>ORD100835</t>
  </si>
  <si>
    <t>ORD100025</t>
  </si>
  <si>
    <t>ORD100049</t>
  </si>
  <si>
    <t>ORD100261</t>
  </si>
  <si>
    <t>ORD100736</t>
  </si>
  <si>
    <t>ORD100341</t>
  </si>
  <si>
    <t>ORD100466</t>
  </si>
  <si>
    <t>ORD100548</t>
  </si>
  <si>
    <t>ORD100531</t>
  </si>
  <si>
    <t>ORD100852</t>
  </si>
  <si>
    <t>ORD100943</t>
  </si>
  <si>
    <t>ORD100911</t>
  </si>
  <si>
    <t>ORD100063</t>
  </si>
  <si>
    <t>ORD100228</t>
  </si>
  <si>
    <t>ORD100232</t>
  </si>
  <si>
    <t>ORD100317</t>
  </si>
  <si>
    <t>ORD100714</t>
  </si>
  <si>
    <t>ORD100753</t>
  </si>
  <si>
    <t>ORD100088</t>
  </si>
  <si>
    <t>ORD100313</t>
  </si>
  <si>
    <t>ORD100461</t>
  </si>
  <si>
    <t>ORD100860</t>
  </si>
  <si>
    <t>ORD100867</t>
  </si>
  <si>
    <t>ORD100399</t>
  </si>
  <si>
    <t>ORD100334</t>
  </si>
  <si>
    <t>ORD100401</t>
  </si>
  <si>
    <t>ORD100623</t>
  </si>
  <si>
    <t>ORD100107</t>
  </si>
  <si>
    <t>ORD100301</t>
  </si>
  <si>
    <t>ORD100278</t>
  </si>
  <si>
    <t>ORD100423</t>
  </si>
  <si>
    <t>ORD100602</t>
  </si>
  <si>
    <t>ORD100876</t>
  </si>
  <si>
    <t>ORD100319</t>
  </si>
  <si>
    <t>ORD100196</t>
  </si>
  <si>
    <t>ORD100463</t>
  </si>
  <si>
    <t>ORD100520</t>
  </si>
  <si>
    <t>ORD100550</t>
  </si>
  <si>
    <t>ORD100706</t>
  </si>
  <si>
    <t>ORD100921</t>
  </si>
  <si>
    <t>ORD100120</t>
  </si>
  <si>
    <t>ORD100011</t>
  </si>
  <si>
    <t>ORD100256</t>
  </si>
  <si>
    <t>ORD100323</t>
  </si>
  <si>
    <t>ORD100970</t>
  </si>
  <si>
    <t>ORD100973</t>
  </si>
  <si>
    <t>ORD100073</t>
  </si>
  <si>
    <t>ORD100154</t>
  </si>
  <si>
    <t>ORD100476</t>
  </si>
  <si>
    <t>ORD100579</t>
  </si>
  <si>
    <t>ORD100991</t>
  </si>
  <si>
    <t>ORD100070</t>
  </si>
  <si>
    <t>ORD100418</t>
  </si>
  <si>
    <t>ORD100522</t>
  </si>
  <si>
    <t>ORD100155</t>
  </si>
  <si>
    <t>ORD100251</t>
  </si>
  <si>
    <t>ORD100468</t>
  </si>
  <si>
    <t>ORD100481</t>
  </si>
  <si>
    <t>ORD100622</t>
  </si>
  <si>
    <t>ORD100803</t>
  </si>
  <si>
    <t>ORD100859</t>
  </si>
  <si>
    <t>ORD100048</t>
  </si>
  <si>
    <t>ORD100403</t>
  </si>
  <si>
    <t>ORD100750</t>
  </si>
  <si>
    <t>ORD100260</t>
  </si>
  <si>
    <t>ORD100595</t>
  </si>
  <si>
    <t>ORD100990</t>
  </si>
  <si>
    <t>ORD100453</t>
  </si>
  <si>
    <t>ORD100535</t>
  </si>
  <si>
    <t>ORD100707</t>
  </si>
  <si>
    <t>ORD100357</t>
  </si>
  <si>
    <t>ORD100873</t>
  </si>
  <si>
    <t>ORD100229</t>
  </si>
  <si>
    <t>ORD100041</t>
  </si>
  <si>
    <t>ORD100473</t>
  </si>
  <si>
    <t>ORD100504</t>
  </si>
  <si>
    <t>ORD100885</t>
  </si>
  <si>
    <t>ORD100064</t>
  </si>
  <si>
    <t>ORD100143</t>
  </si>
  <si>
    <t>ORD100171</t>
  </si>
  <si>
    <t>ORD100394</t>
  </si>
  <si>
    <t>ORD100819</t>
  </si>
  <si>
    <t>ORD100612</t>
  </si>
  <si>
    <t>ORD100649</t>
  </si>
  <si>
    <t>ORD100035</t>
  </si>
  <si>
    <t>ORD100152</t>
  </si>
  <si>
    <t>ORD100454</t>
  </si>
  <si>
    <t>ORD100655</t>
  </si>
  <si>
    <t>ORD100792</t>
  </si>
  <si>
    <t>ORD100146</t>
  </si>
  <si>
    <t>ORD100516</t>
  </si>
  <si>
    <t>ORD100539</t>
  </si>
  <si>
    <t>ORD100641</t>
  </si>
  <si>
    <t>ORD100685</t>
  </si>
  <si>
    <t>ORD100794</t>
  </si>
  <si>
    <t>ORD100934</t>
  </si>
  <si>
    <t>ORD100040</t>
  </si>
  <si>
    <t>ORD100104</t>
  </si>
  <si>
    <t>ORD100455</t>
  </si>
  <si>
    <t>ORD100647</t>
  </si>
  <si>
    <t>ORD100217</t>
  </si>
  <si>
    <t>ORD100448</t>
  </si>
  <si>
    <t>ORD100989</t>
  </si>
  <si>
    <t>ORD100177</t>
  </si>
  <si>
    <t>ORD100219</t>
  </si>
  <si>
    <t>ORD100387</t>
  </si>
  <si>
    <t>ORD100809</t>
  </si>
  <si>
    <t>ORD100305</t>
  </si>
  <si>
    <t>ORD100815</t>
  </si>
  <si>
    <t>ORD100287</t>
  </si>
  <si>
    <t>ORD100613</t>
  </si>
  <si>
    <t>ORD100786</t>
  </si>
  <si>
    <t>ORD100002</t>
  </si>
  <si>
    <t>ORD100122</t>
  </si>
  <si>
    <t>ORD100149</t>
  </si>
  <si>
    <t>ORD100165</t>
  </si>
  <si>
    <t>ORD100166</t>
  </si>
  <si>
    <t>ORD100828</t>
  </si>
  <si>
    <t>ORD100980</t>
  </si>
  <si>
    <t>ORD100696</t>
  </si>
  <si>
    <t>ORD100208</t>
  </si>
  <si>
    <t>ORD100886</t>
  </si>
  <si>
    <t>ORD100026</t>
  </si>
  <si>
    <t>ORD100368</t>
  </si>
  <si>
    <t>ORD100419</t>
  </si>
  <si>
    <t>ORD100715</t>
  </si>
  <si>
    <t>ORD100310</t>
  </si>
  <si>
    <t>ORD100773</t>
  </si>
  <si>
    <t>ORD100006</t>
  </si>
  <si>
    <t>ORD100315</t>
  </si>
  <si>
    <t>ORD100324</t>
  </si>
  <si>
    <t>ORD100609</t>
  </si>
  <si>
    <t>ORD100621</t>
  </si>
  <si>
    <t>ORD100839</t>
  </si>
  <si>
    <t>ORD100377</t>
  </si>
  <si>
    <t>ORD100396</t>
  </si>
  <si>
    <t>ORD100393</t>
  </si>
  <si>
    <t>ORD100402</t>
  </si>
  <si>
    <t>ORD100629</t>
  </si>
  <si>
    <t>ORD100694</t>
  </si>
  <si>
    <t>ORD100841</t>
  </si>
  <si>
    <t>ORD100627</t>
  </si>
  <si>
    <t>ORD100411</t>
  </si>
  <si>
    <t>ORD100576</t>
  </si>
  <si>
    <t>ORD100604</t>
  </si>
  <si>
    <t>ORD100905</t>
  </si>
  <si>
    <t>ORD100940</t>
  </si>
  <si>
    <t>ORD100445</t>
  </si>
  <si>
    <t>ORD100556</t>
  </si>
  <si>
    <t>ORD100593</t>
  </si>
  <si>
    <t>ORD100846</t>
  </si>
  <si>
    <t>ORD100105</t>
  </si>
  <si>
    <t>ORD100209</t>
  </si>
  <si>
    <t>ORD100701</t>
  </si>
  <si>
    <t>ORD100266</t>
  </si>
  <si>
    <t>ORD100280</t>
  </si>
  <si>
    <t>ORD100607</t>
  </si>
  <si>
    <t>ORD100997</t>
  </si>
  <si>
    <t>ORD100489</t>
  </si>
  <si>
    <t>ORD100016</t>
  </si>
  <si>
    <t>ORD100689</t>
  </si>
  <si>
    <t>ORD100893</t>
  </si>
  <si>
    <t>ORD100013</t>
  </si>
  <si>
    <t>ORD100090</t>
  </si>
  <si>
    <t>ORD100111</t>
  </si>
  <si>
    <t>ORD100076</t>
  </si>
  <si>
    <t>ORD100129</t>
  </si>
  <si>
    <t>ORD100681</t>
  </si>
  <si>
    <t>ORD100704</t>
  </si>
  <si>
    <t>ORD100829</t>
  </si>
  <si>
    <t>ORD100554</t>
  </si>
  <si>
    <t>ORD100699</t>
  </si>
  <si>
    <t>ORD100824</t>
  </si>
  <si>
    <t>ORD100903</t>
  </si>
  <si>
    <t>ORD100930</t>
  </si>
  <si>
    <t>ORD100587</t>
  </si>
  <si>
    <t>ORD100776</t>
  </si>
  <si>
    <t>ORD100816</t>
  </si>
  <si>
    <t>ORD100840</t>
  </si>
  <si>
    <t>ORD100299</t>
  </si>
  <si>
    <t>ORD100857</t>
  </si>
  <si>
    <t>ORD100275</t>
  </si>
  <si>
    <t>ORD100346</t>
  </si>
  <si>
    <t>ORD100372</t>
  </si>
  <si>
    <t>ORD100665</t>
  </si>
  <si>
    <t>ORD100605</t>
  </si>
  <si>
    <t>ORD100606</t>
  </si>
  <si>
    <t>ORD100800</t>
  </si>
  <si>
    <t>ORD100108</t>
  </si>
  <si>
    <t>ORD100599</t>
  </si>
  <si>
    <t>ORD100698</t>
  </si>
  <si>
    <t>ORD100967</t>
  </si>
  <si>
    <t>ORD100610</t>
  </si>
  <si>
    <t>ORD100693</t>
  </si>
  <si>
    <t>ORD100709</t>
  </si>
  <si>
    <t>ORD100858</t>
  </si>
  <si>
    <t>ORD100259</t>
  </si>
  <si>
    <t>ORD100081</t>
  </si>
  <si>
    <t>ORD100465</t>
  </si>
  <si>
    <t>ORD100494</t>
  </si>
  <si>
    <t>ORD100496</t>
  </si>
  <si>
    <t>ORD100713</t>
  </si>
  <si>
    <t>ORD100900</t>
  </si>
  <si>
    <t>ORD100128</t>
  </si>
  <si>
    <t>ORD100236</t>
  </si>
  <si>
    <t>ORD100281</t>
  </si>
  <si>
    <t>ORD100337</t>
  </si>
  <si>
    <t>ORD100072</t>
  </si>
  <si>
    <t>ORD100297</t>
  </si>
  <si>
    <t>ORD100748</t>
  </si>
  <si>
    <t>ORD100241</t>
  </si>
  <si>
    <t>ORD100464</t>
  </si>
  <si>
    <t>ORD100053</t>
  </si>
  <si>
    <t>ORD100890</t>
  </si>
  <si>
    <t>ORD100230</t>
  </si>
  <si>
    <t>ORD100385</t>
  </si>
  <si>
    <t>ORD100570</t>
  </si>
  <si>
    <t>ORD100619</t>
  </si>
  <si>
    <t>ORD100727</t>
  </si>
  <si>
    <t>ORD100046</t>
  </si>
  <si>
    <t>ORD100277</t>
  </si>
  <si>
    <t>ORD100360</t>
  </si>
  <si>
    <t>ORD100625</t>
  </si>
  <si>
    <t>ORD100573</t>
  </si>
  <si>
    <t>ORD100787</t>
  </si>
  <si>
    <t>ORD100909</t>
  </si>
  <si>
    <t>ORD100624</t>
  </si>
  <si>
    <t>ORD100979</t>
  </si>
  <si>
    <t>ORD100406</t>
  </si>
  <si>
    <t>ORD100425</t>
  </si>
  <si>
    <t>ORD100703</t>
  </si>
  <si>
    <t>ORD100712</t>
  </si>
  <si>
    <t>ORD100826</t>
  </si>
  <si>
    <t>ORD100971</t>
  </si>
  <si>
    <t>ORD100977</t>
  </si>
  <si>
    <t>ORD100470</t>
  </si>
  <si>
    <t>ORD100790</t>
  </si>
  <si>
    <t>ORD100119</t>
  </si>
  <si>
    <t>ORD100565</t>
  </si>
  <si>
    <t>ORD100295</t>
  </si>
  <si>
    <t>ORD100343</t>
  </si>
  <si>
    <t>ORD100409</t>
  </si>
  <si>
    <t>ORD100722</t>
  </si>
  <si>
    <t>ORD100844</t>
  </si>
  <si>
    <t>ORD100889</t>
  </si>
  <si>
    <t>ORD100528</t>
  </si>
  <si>
    <t>ORD100103</t>
  </si>
  <si>
    <t>ORD100981</t>
  </si>
  <si>
    <t>ORD100221</t>
  </si>
  <si>
    <t>ORD100024</t>
  </si>
  <si>
    <t>ORD100805</t>
  </si>
  <si>
    <t>ORD100882</t>
  </si>
  <si>
    <t>ORD100995</t>
  </si>
  <si>
    <t>ORD100746</t>
  </si>
  <si>
    <t>ORD100931</t>
  </si>
  <si>
    <t>ORD100265</t>
  </si>
  <si>
    <t>ORD100902</t>
  </si>
  <si>
    <t>ORD100457</t>
  </si>
  <si>
    <t>ORD100549</t>
  </si>
  <si>
    <t>ORD100163</t>
  </si>
  <si>
    <t>ORD100331</t>
  </si>
  <si>
    <t>ORD100412</t>
  </si>
  <si>
    <t>ORD100919</t>
  </si>
  <si>
    <t>ORD100082</t>
  </si>
  <si>
    <t>ORD100121</t>
  </si>
  <si>
    <t>ORD100123</t>
  </si>
  <si>
    <t>ORD100197</t>
  </si>
  <si>
    <t>ORD100386</t>
  </si>
  <si>
    <t>ORD100578</t>
  </si>
  <si>
    <t>ORD100045</t>
  </si>
  <si>
    <t>ORD100642</t>
  </si>
  <si>
    <t>ORD100892</t>
  </si>
  <si>
    <t>ORD100014</t>
  </si>
  <si>
    <t>ORD100314</t>
  </si>
  <si>
    <t>ORD100205</t>
  </si>
  <si>
    <t>ORD100378</t>
  </si>
  <si>
    <t>ORD100505</t>
  </si>
  <si>
    <t>ORD100927</t>
  </si>
  <si>
    <t>ORD100124</t>
  </si>
  <si>
    <t>ORD100212</t>
  </si>
  <si>
    <t>ORD100264</t>
  </si>
  <si>
    <t>ORD100795</t>
  </si>
  <si>
    <t>ORD100364</t>
  </si>
  <si>
    <t>ORD100586</t>
  </si>
  <si>
    <t>ORD100320</t>
  </si>
  <si>
    <t>ORD100447</t>
  </si>
  <si>
    <t>ORD100755</t>
  </si>
  <si>
    <t>ORD100904</t>
  </si>
  <si>
    <t>ORD100584</t>
  </si>
  <si>
    <t>ORD100875</t>
  </si>
  <si>
    <t>ORD100008</t>
  </si>
  <si>
    <t>ORD100273</t>
  </si>
  <si>
    <t>ORD100493</t>
  </si>
  <si>
    <t>ORD100428</t>
  </si>
  <si>
    <t>ORD100764</t>
  </si>
  <si>
    <t>ORD100957</t>
  </si>
  <si>
    <t>ORD100348</t>
  </si>
  <si>
    <t>ORD100600</t>
  </si>
  <si>
    <t>ORD100984</t>
  </si>
  <si>
    <t>ORD100132</t>
  </si>
  <si>
    <t>ORD100850</t>
  </si>
  <si>
    <t>ORD100115</t>
  </si>
  <si>
    <t>ORD100598</t>
  </si>
  <si>
    <t>ORD100087</t>
  </si>
  <si>
    <t>ORD100101</t>
  </si>
  <si>
    <t>ORD100150</t>
  </si>
  <si>
    <t>ORD100568</t>
  </si>
  <si>
    <t>ORD100953</t>
  </si>
  <si>
    <t>ORD100061</t>
  </si>
  <si>
    <t>ORD100449</t>
  </si>
  <si>
    <t>ORD100897</t>
  </si>
  <si>
    <t>ORD100926</t>
  </si>
  <si>
    <t>ORD100039</t>
  </si>
  <si>
    <t>ORD100543</t>
  </si>
  <si>
    <t>ORD100668</t>
  </si>
  <si>
    <t>ORD100879</t>
  </si>
  <si>
    <t>ORD100741</t>
  </si>
  <si>
    <t>ORD100745</t>
  </si>
  <si>
    <t>ORD100937</t>
  </si>
  <si>
    <t>ORD100138</t>
  </si>
  <si>
    <t>ORD100198</t>
  </si>
  <si>
    <t>ORD100342</t>
  </si>
  <si>
    <t>ORD100456</t>
  </si>
  <si>
    <t>ORD100483</t>
  </si>
  <si>
    <t>ORD100592</t>
  </si>
  <si>
    <t>ORD100653</t>
  </si>
  <si>
    <t>ORD100870</t>
  </si>
  <si>
    <t>ORD100361</t>
  </si>
  <si>
    <t>ORD100513</t>
  </si>
  <si>
    <t>ORD100827</t>
  </si>
  <si>
    <t>ORD100191</t>
  </si>
  <si>
    <t>ORD100258</t>
  </si>
  <si>
    <t>ORD100395</t>
  </si>
  <si>
    <t>ORD100982</t>
  </si>
  <si>
    <t>ORD100031</t>
  </si>
  <si>
    <t>ORD100333</t>
  </si>
  <si>
    <t>ORD100274</t>
  </si>
  <si>
    <t>ORD100296</t>
  </si>
  <si>
    <t>ORD100710</t>
  </si>
  <si>
    <t>ORD100730</t>
  </si>
  <si>
    <t>ORD100117</t>
  </si>
  <si>
    <t>ORD100416</t>
  </si>
  <si>
    <t>ORD100431</t>
  </si>
  <si>
    <t>ORD100506</t>
  </si>
  <si>
    <t>ORD100847</t>
  </si>
  <si>
    <t>ORD100450</t>
  </si>
  <si>
    <t>ORD100684</t>
  </si>
  <si>
    <t>ORD100810</t>
  </si>
  <si>
    <t>ORD100874</t>
  </si>
  <si>
    <t>ORD100460</t>
  </si>
  <si>
    <t>ORD100637</t>
  </si>
  <si>
    <t>ORD100350</t>
  </si>
  <si>
    <t>ORD100023</t>
  </si>
  <si>
    <t>ORD100170</t>
  </si>
  <si>
    <t>ORD100270</t>
  </si>
  <si>
    <t>ORD100303</t>
  </si>
  <si>
    <t>ORD100512</t>
  </si>
  <si>
    <t>ORD100766</t>
  </si>
  <si>
    <t>ORD100530</t>
  </si>
  <si>
    <t>ORD100758</t>
  </si>
  <si>
    <t>ORD100869</t>
  </si>
  <si>
    <t>ORD100884</t>
  </si>
  <si>
    <t>ORD100130</t>
  </si>
  <si>
    <t>ORD100142</t>
  </si>
  <si>
    <t>ORD100371</t>
  </si>
  <si>
    <t>ORD100469</t>
  </si>
  <si>
    <t>ORD100533</t>
  </si>
  <si>
    <t>ORD100724</t>
  </si>
  <si>
    <t>ORD100767</t>
  </si>
  <si>
    <t>ORD100487</t>
  </si>
  <si>
    <t>ORD100239</t>
  </si>
  <si>
    <t>ORD100673</t>
  </si>
  <si>
    <t>ORD100692</t>
  </si>
  <si>
    <t>ORD100093</t>
  </si>
  <si>
    <t>ORD100492</t>
  </si>
  <si>
    <t>ORD100678</t>
  </si>
  <si>
    <t>ORD100439</t>
  </si>
  <si>
    <t>ORD100540</t>
  </si>
  <si>
    <t>ORD100725</t>
  </si>
  <si>
    <t>ORD100291</t>
  </si>
  <si>
    <t>ORD100620</t>
  </si>
  <si>
    <t>ORD100744</t>
  </si>
  <si>
    <t>ORD100091</t>
  </si>
  <si>
    <t>ORD100518</t>
  </si>
  <si>
    <t>ORD100571</t>
  </si>
  <si>
    <t>ORD100617</t>
  </si>
  <si>
    <t>ORD100756</t>
  </si>
  <si>
    <t>ORD100941</t>
  </si>
  <si>
    <t>ORD100030</t>
  </si>
  <si>
    <t>ORD100292</t>
  </si>
  <si>
    <t>ORD100662</t>
  </si>
  <si>
    <t>ORD100861</t>
  </si>
  <si>
    <t>ORD100384</t>
  </si>
  <si>
    <t>ORD100397</t>
  </si>
  <si>
    <t>ORD100417</t>
  </si>
  <si>
    <t>ORD100942</t>
  </si>
  <si>
    <t>ORD100986</t>
  </si>
  <si>
    <t>ORD100162</t>
  </si>
  <si>
    <t>ORD100206</t>
  </si>
  <si>
    <t>ORD100367</t>
  </si>
  <si>
    <t>ORD100404</t>
  </si>
  <si>
    <t>ORD100998</t>
  </si>
  <si>
    <t>ORD100538</t>
  </si>
  <si>
    <t>ORD100769</t>
  </si>
  <si>
    <t>ORD100962</t>
  </si>
  <si>
    <t>ORD100974</t>
  </si>
  <si>
    <t>ORD100896</t>
  </si>
  <si>
    <t>ORD100999</t>
  </si>
  <si>
    <t>ORD100199</t>
  </si>
  <si>
    <t>ORD100961</t>
  </si>
  <si>
    <t>ORD100182</t>
  </si>
  <si>
    <t>ORD100920</t>
  </si>
  <si>
    <t>ORD100552</t>
  </si>
  <si>
    <t>ORD100779</t>
  </si>
  <si>
    <t>ORD100226</t>
  </si>
  <si>
    <t>ORD100491</t>
  </si>
  <si>
    <t>ORD100793</t>
  </si>
  <si>
    <t>ORD100899</t>
  </si>
  <si>
    <t>ORD100366</t>
  </si>
  <si>
    <t>ORD100726</t>
  </si>
  <si>
    <t>ORD100017</t>
  </si>
  <si>
    <t>ORD100054</t>
  </si>
  <si>
    <t>ORD100801</t>
  </si>
  <si>
    <t>ORD100832</t>
  </si>
  <si>
    <t>ORD100095</t>
  </si>
  <si>
    <t>ORD100434</t>
  </si>
  <si>
    <t>ORD100131</t>
  </si>
  <si>
    <t>ORD100227</t>
  </si>
  <si>
    <t>ORD100660</t>
  </si>
  <si>
    <t>ORD100796</t>
  </si>
  <si>
    <t>ORD100141</t>
  </si>
  <si>
    <t>ORD100413</t>
  </si>
  <si>
    <t>ORD100856</t>
  </si>
  <si>
    <t>ORD100268</t>
  </si>
  <si>
    <t>ORD100202</t>
  </si>
  <si>
    <t>ORD100243</t>
  </si>
  <si>
    <t>ORD100760</t>
  </si>
  <si>
    <t>ORD100279</t>
  </si>
  <si>
    <t>ORD100135</t>
  </si>
  <si>
    <t>ORD100379</t>
  </si>
  <si>
    <t>ORD100389</t>
  </si>
  <si>
    <t>ORD100591</t>
  </si>
  <si>
    <t>ORD100854</t>
  </si>
  <si>
    <t>Column</t>
  </si>
  <si>
    <t>Meaning</t>
  </si>
  <si>
    <t>Unique order identifier</t>
  </si>
  <si>
    <t>Order date</t>
  </si>
  <si>
    <t>Customer name</t>
  </si>
  <si>
    <t>Product name</t>
  </si>
  <si>
    <t>Product category</t>
  </si>
  <si>
    <t>Units ordered</t>
  </si>
  <si>
    <t>Sales revenue</t>
  </si>
  <si>
    <t>Product cost</t>
  </si>
  <si>
    <t>Actual delivery date; blank for pending/cancelled orders</t>
  </si>
  <si>
    <t>Customer region</t>
  </si>
  <si>
    <t>Fulfillment warehouse</t>
  </si>
  <si>
    <t>Order status</t>
  </si>
  <si>
    <t>profit</t>
  </si>
  <si>
    <t>profit margin</t>
  </si>
  <si>
    <t>delivery days</t>
  </si>
  <si>
    <t>delivery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</si>
</sst>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0" fillId="0" borderId="0" xfId="0" applyNumberFormat="1"/>
    <xf numFmtId="0" fontId="2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0.0%"/>
    </dxf>
    <dxf>
      <numFmt numFmtId="4" formatCode="#,##0.00"/>
    </dxf>
    <dxf>
      <numFmt numFmtId="19" formatCode="d/mm/yyyy"/>
    </dxf>
    <dxf>
      <numFmt numFmtId="4" formatCode="#,##0.00"/>
    </dxf>
    <dxf>
      <numFmt numFmtId="4" formatCode="#,##0.00"/>
    </dxf>
    <dxf>
      <numFmt numFmtId="19" formatCode="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81F96-71AC-4267-B622-31E8542E35F6}" name="orders" displayName="orders" ref="A1:P1001" totalsRowShown="0" headerRowDxfId="11" headerRowBorderDxfId="10" tableBorderDxfId="9">
  <autoFilter ref="A1:P1001" xr:uid="{00000000-0009-0000-0000-000000000000}"/>
  <tableColumns count="16">
    <tableColumn id="1" xr3:uid="{5C6533E7-4EAB-46AC-AC60-978094B67D23}" name="Order ID"/>
    <tableColumn id="2" xr3:uid="{CA25513B-CA89-48BF-AC14-6EAEB4E23B04}" name="Date" dataDxfId="8"/>
    <tableColumn id="3" xr3:uid="{A2336803-A009-4893-9B94-E3E21729BB4D}" name="Customer"/>
    <tableColumn id="4" xr3:uid="{14E88A2E-175B-44BA-85EE-FAAE9AD7792F}" name="Product"/>
    <tableColumn id="5" xr3:uid="{3649725C-A7C0-4273-85CE-44BA85761371}" name="Category"/>
    <tableColumn id="6" xr3:uid="{5386164B-399E-4E48-9338-F77A3CE862EA}" name="Quantity"/>
    <tableColumn id="7" xr3:uid="{EADC9814-9E29-41D2-B778-CB7377D8D0B6}" name="Revenue" dataDxfId="7"/>
    <tableColumn id="8" xr3:uid="{859E5344-EFD3-4FD6-B2EA-004F471A3EAF}" name="Cost" dataDxfId="6"/>
    <tableColumn id="9" xr3:uid="{3DFFE62D-5F6B-464B-A057-97347C327783}" name="Delivery Date" dataDxfId="5"/>
    <tableColumn id="10" xr3:uid="{E342EF5A-5341-49E9-A3E8-8E68E3364541}" name="Region"/>
    <tableColumn id="11" xr3:uid="{330C1284-90D5-45D9-80D7-AD4BA24B1C7F}" name="Warehouse"/>
    <tableColumn id="12" xr3:uid="{AEFB6EC9-9F2E-4E58-9722-1E03D54FF187}" name="Status"/>
    <tableColumn id="13" xr3:uid="{0E0D09C5-DF79-4889-820D-58FD0703457D}" name="profit" dataDxfId="4">
      <calculatedColumnFormula>(orders[[#This Row],[Revenue]]-orders[[#This Row],[Cost]])</calculatedColumnFormula>
    </tableColumn>
    <tableColumn id="14" xr3:uid="{C0799DC2-6587-44B7-92EB-67E6E5C5EA30}" name="profit margin" dataDxfId="3">
      <calculatedColumnFormula>IFERROR(orders[[#This Row],[profit]]/orders[[#This Row],[Revenue]],0)</calculatedColumnFormula>
    </tableColumn>
    <tableColumn id="15" xr3:uid="{B2973058-B13B-42E2-8406-28CFA2197007}" name="delivery days" dataDxfId="2">
      <calculatedColumnFormula>IF(orders[[#This Row],[Delivery Date]]="","",(orders[[#This Row],[Delivery Date]]-orders[[#This Row],[Date]]))</calculatedColumnFormula>
    </tableColumn>
    <tableColumn id="16" xr3:uid="{F13BD147-1C29-4658-BB55-738F57BC5786}" name="delivery performance" dataDxfId="1">
      <calculatedColumnFormula>IF(orders[[#This Row],[delivery days]]="","Not Delivered",IF(orders[[#This Row],[delivery days]]&lt;=2,"Fast",IF(orders[[#This Row],[delivery days]]&lt;=5,"Normal","Delayed")))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E1" zoomScale="90" zoomScaleNormal="90" workbookViewId="0">
      <pane ySplit="1" topLeftCell="A2" activePane="bottomLeft" state="frozen"/>
      <selection pane="bottomLeft" activeCell="P11" sqref="P11"/>
    </sheetView>
  </sheetViews>
  <sheetFormatPr defaultRowHeight="15" x14ac:dyDescent="0.25"/>
  <cols>
    <col min="1" max="1" width="14" customWidth="1"/>
    <col min="2" max="2" width="13" style="5" customWidth="1"/>
    <col min="3" max="3" width="22" customWidth="1"/>
    <col min="4" max="4" width="26" customWidth="1"/>
    <col min="5" max="5" width="15" customWidth="1"/>
    <col min="6" max="6" width="10.85546875" customWidth="1"/>
    <col min="7" max="8" width="14" customWidth="1"/>
    <col min="9" max="11" width="16" customWidth="1"/>
    <col min="12" max="12" width="14" customWidth="1"/>
    <col min="13" max="13" width="11.140625" customWidth="1"/>
    <col min="14" max="14" width="17.5703125" style="8" bestFit="1" customWidth="1"/>
    <col min="15" max="15" width="17.42578125" bestFit="1" customWidth="1"/>
    <col min="16" max="16" width="25.28515625" bestFit="1" customWidth="1"/>
  </cols>
  <sheetData>
    <row r="1" spans="1:16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1152</v>
      </c>
      <c r="N1" s="7" t="s">
        <v>1153</v>
      </c>
      <c r="O1" s="6" t="s">
        <v>1154</v>
      </c>
      <c r="P1" s="6" t="s">
        <v>1155</v>
      </c>
    </row>
    <row r="2" spans="1:16" x14ac:dyDescent="0.25">
      <c r="A2" t="s">
        <v>12</v>
      </c>
      <c r="B2" s="5">
        <v>45658</v>
      </c>
      <c r="C2" t="s">
        <v>13</v>
      </c>
      <c r="D2" t="s">
        <v>14</v>
      </c>
      <c r="E2" t="s">
        <v>15</v>
      </c>
      <c r="F2">
        <v>2</v>
      </c>
      <c r="G2" s="1">
        <v>50</v>
      </c>
      <c r="H2" s="1">
        <v>17.64</v>
      </c>
      <c r="I2" s="5">
        <v>45661</v>
      </c>
      <c r="J2" t="s">
        <v>16</v>
      </c>
      <c r="K2" t="s">
        <v>17</v>
      </c>
      <c r="L2" t="s">
        <v>18</v>
      </c>
      <c r="M2" s="1">
        <f>(orders[[#This Row],[Revenue]]-orders[[#This Row],[Cost]])</f>
        <v>32.36</v>
      </c>
      <c r="N2" s="8">
        <f>IFERROR(orders[[#This Row],[profit]]/orders[[#This Row],[Revenue]],0)</f>
        <v>0.6472</v>
      </c>
      <c r="O2">
        <f>IF(orders[[#This Row],[Delivery Date]]="","",(orders[[#This Row],[Delivery Date]]-orders[[#This Row],[Date]]))</f>
        <v>3</v>
      </c>
      <c r="P2" t="str">
        <f>IF(orders[[#This Row],[delivery days]]="","Not Delivered",IF(orders[[#This Row],[delivery days]]&lt;=2,"Fast",IF(orders[[#This Row],[delivery days]]&lt;=5,"Normal","Delayed")))</f>
        <v>Normal</v>
      </c>
    </row>
    <row r="3" spans="1:16" x14ac:dyDescent="0.25">
      <c r="A3" t="s">
        <v>19</v>
      </c>
      <c r="B3" s="5">
        <v>45658</v>
      </c>
      <c r="C3" t="s">
        <v>20</v>
      </c>
      <c r="D3" t="s">
        <v>21</v>
      </c>
      <c r="E3" t="s">
        <v>22</v>
      </c>
      <c r="F3">
        <v>1</v>
      </c>
      <c r="G3" s="1">
        <v>32</v>
      </c>
      <c r="H3" s="1">
        <v>13</v>
      </c>
      <c r="I3" s="5">
        <v>45659</v>
      </c>
      <c r="J3" t="s">
        <v>23</v>
      </c>
      <c r="K3" t="s">
        <v>24</v>
      </c>
      <c r="L3" t="s">
        <v>25</v>
      </c>
      <c r="M3" s="1">
        <f>(orders[[#This Row],[Revenue]]-orders[[#This Row],[Cost]])</f>
        <v>19</v>
      </c>
      <c r="N3" s="8">
        <f>IFERROR(orders[[#This Row],[profit]]/orders[[#This Row],[Revenue]],0)</f>
        <v>0.59375</v>
      </c>
      <c r="O3">
        <f>IF(orders[[#This Row],[Delivery Date]]="","",(orders[[#This Row],[Delivery Date]]-orders[[#This Row],[Date]]))</f>
        <v>1</v>
      </c>
      <c r="P3" t="str">
        <f>IF(orders[[#This Row],[delivery days]]="","Not Delivered",IF(orders[[#This Row],[delivery days]]&lt;=2,"Fast",IF(orders[[#This Row],[delivery days]]&lt;=5,"Normal","Delayed")))</f>
        <v>Fast</v>
      </c>
    </row>
    <row r="4" spans="1:16" x14ac:dyDescent="0.25">
      <c r="A4" t="s">
        <v>26</v>
      </c>
      <c r="B4" s="5">
        <v>45659</v>
      </c>
      <c r="C4" t="s">
        <v>27</v>
      </c>
      <c r="D4" t="s">
        <v>28</v>
      </c>
      <c r="E4" t="s">
        <v>29</v>
      </c>
      <c r="F4">
        <v>3</v>
      </c>
      <c r="G4" s="1">
        <v>69.84</v>
      </c>
      <c r="H4" s="1">
        <v>27</v>
      </c>
      <c r="I4" s="5">
        <v>45661</v>
      </c>
      <c r="J4" t="s">
        <v>30</v>
      </c>
      <c r="K4" t="s">
        <v>17</v>
      </c>
      <c r="L4" t="s">
        <v>25</v>
      </c>
      <c r="M4" s="1">
        <f>(orders[[#This Row],[Revenue]]-orders[[#This Row],[Cost]])</f>
        <v>42.84</v>
      </c>
      <c r="N4" s="8">
        <f>IFERROR(orders[[#This Row],[profit]]/orders[[#This Row],[Revenue]],0)</f>
        <v>0.61340206185567014</v>
      </c>
      <c r="O4">
        <f>IF(orders[[#This Row],[Delivery Date]]="","",(orders[[#This Row],[Delivery Date]]-orders[[#This Row],[Date]]))</f>
        <v>2</v>
      </c>
      <c r="P4" t="str">
        <f>IF(orders[[#This Row],[delivery days]]="","Not Delivered",IF(orders[[#This Row],[delivery days]]&lt;=2,"Fast",IF(orders[[#This Row],[delivery days]]&lt;=5,"Normal","Delayed")))</f>
        <v>Fast</v>
      </c>
    </row>
    <row r="5" spans="1:16" x14ac:dyDescent="0.25">
      <c r="A5" t="s">
        <v>31</v>
      </c>
      <c r="B5" s="5">
        <v>45660</v>
      </c>
      <c r="C5" t="s">
        <v>32</v>
      </c>
      <c r="D5" t="s">
        <v>33</v>
      </c>
      <c r="E5" t="s">
        <v>34</v>
      </c>
      <c r="F5">
        <v>1</v>
      </c>
      <c r="G5" s="1">
        <v>53.36</v>
      </c>
      <c r="H5" s="1">
        <v>25.5</v>
      </c>
      <c r="I5" s="5">
        <v>45662</v>
      </c>
      <c r="J5" t="s">
        <v>30</v>
      </c>
      <c r="K5" t="s">
        <v>35</v>
      </c>
      <c r="L5" t="s">
        <v>25</v>
      </c>
      <c r="M5" s="1">
        <f>(orders[[#This Row],[Revenue]]-orders[[#This Row],[Cost]])</f>
        <v>27.86</v>
      </c>
      <c r="N5" s="8">
        <f>IFERROR(orders[[#This Row],[profit]]/orders[[#This Row],[Revenue]],0)</f>
        <v>0.52211394302848579</v>
      </c>
      <c r="O5">
        <f>IF(orders[[#This Row],[Delivery Date]]="","",(orders[[#This Row],[Delivery Date]]-orders[[#This Row],[Date]]))</f>
        <v>2</v>
      </c>
      <c r="P5" t="str">
        <f>IF(orders[[#This Row],[delivery days]]="","Not Delivered",IF(orders[[#This Row],[delivery days]]&lt;=2,"Fast",IF(orders[[#This Row],[delivery days]]&lt;=5,"Normal","Delayed")))</f>
        <v>Fast</v>
      </c>
    </row>
    <row r="6" spans="1:16" x14ac:dyDescent="0.25">
      <c r="A6" t="s">
        <v>36</v>
      </c>
      <c r="B6" s="5">
        <v>45660</v>
      </c>
      <c r="C6" t="s">
        <v>37</v>
      </c>
      <c r="D6" t="s">
        <v>38</v>
      </c>
      <c r="E6" t="s">
        <v>39</v>
      </c>
      <c r="F6">
        <v>1</v>
      </c>
      <c r="G6" s="1">
        <v>850</v>
      </c>
      <c r="H6" s="1">
        <v>597.79999999999995</v>
      </c>
      <c r="I6" s="5">
        <v>45664</v>
      </c>
      <c r="J6" t="s">
        <v>16</v>
      </c>
      <c r="K6" t="s">
        <v>35</v>
      </c>
      <c r="L6" t="s">
        <v>25</v>
      </c>
      <c r="M6" s="1">
        <f>(orders[[#This Row],[Revenue]]-orders[[#This Row],[Cost]])</f>
        <v>252.20000000000005</v>
      </c>
      <c r="N6" s="8">
        <f>IFERROR(orders[[#This Row],[profit]]/orders[[#This Row],[Revenue]],0)</f>
        <v>0.29670588235294121</v>
      </c>
      <c r="O6">
        <f>IF(orders[[#This Row],[Delivery Date]]="","",(orders[[#This Row],[Delivery Date]]-orders[[#This Row],[Date]]))</f>
        <v>4</v>
      </c>
      <c r="P6" t="str">
        <f>IF(orders[[#This Row],[delivery days]]="","Not Delivered",IF(orders[[#This Row],[delivery days]]&lt;=2,"Fast",IF(orders[[#This Row],[delivery days]]&lt;=5,"Normal","Delayed")))</f>
        <v>Normal</v>
      </c>
    </row>
    <row r="7" spans="1:16" x14ac:dyDescent="0.25">
      <c r="A7" t="s">
        <v>40</v>
      </c>
      <c r="B7" s="5">
        <v>45660</v>
      </c>
      <c r="C7" t="s">
        <v>41</v>
      </c>
      <c r="D7" t="s">
        <v>14</v>
      </c>
      <c r="E7" t="s">
        <v>15</v>
      </c>
      <c r="F7">
        <v>1</v>
      </c>
      <c r="G7" s="1">
        <v>25</v>
      </c>
      <c r="H7" s="1">
        <v>9.18</v>
      </c>
      <c r="I7" s="5"/>
      <c r="J7" t="s">
        <v>23</v>
      </c>
      <c r="K7" t="s">
        <v>17</v>
      </c>
      <c r="L7" t="s">
        <v>42</v>
      </c>
      <c r="M7" s="1">
        <f>(orders[[#This Row],[Revenue]]-orders[[#This Row],[Cost]])</f>
        <v>15.82</v>
      </c>
      <c r="N7" s="8">
        <f>IFERROR(orders[[#This Row],[profit]]/orders[[#This Row],[Revenue]],0)</f>
        <v>0.63280000000000003</v>
      </c>
      <c r="O7" t="str">
        <f>IF(orders[[#This Row],[Delivery Date]]="","",(orders[[#This Row],[Delivery Date]]-orders[[#This Row],[Date]]))</f>
        <v/>
      </c>
      <c r="P7" t="str">
        <f>IF(orders[[#This Row],[delivery days]]="","Not Delivered",IF(orders[[#This Row],[delivery days]]&lt;=2,"Fast",IF(orders[[#This Row],[delivery days]]&lt;=5,"Normal","Delayed")))</f>
        <v>Not Delivered</v>
      </c>
    </row>
    <row r="8" spans="1:16" x14ac:dyDescent="0.25">
      <c r="A8" t="s">
        <v>43</v>
      </c>
      <c r="B8" s="5">
        <v>45660</v>
      </c>
      <c r="C8" t="s">
        <v>44</v>
      </c>
      <c r="D8" t="s">
        <v>45</v>
      </c>
      <c r="E8" t="s">
        <v>34</v>
      </c>
      <c r="F8">
        <v>1</v>
      </c>
      <c r="G8" s="1">
        <v>72</v>
      </c>
      <c r="H8" s="1">
        <v>31</v>
      </c>
      <c r="I8" s="5">
        <v>45663</v>
      </c>
      <c r="J8" t="s">
        <v>46</v>
      </c>
      <c r="K8" t="s">
        <v>47</v>
      </c>
      <c r="L8" t="s">
        <v>25</v>
      </c>
      <c r="M8" s="1">
        <f>(orders[[#This Row],[Revenue]]-orders[[#This Row],[Cost]])</f>
        <v>41</v>
      </c>
      <c r="N8" s="8">
        <f>IFERROR(orders[[#This Row],[profit]]/orders[[#This Row],[Revenue]],0)</f>
        <v>0.56944444444444442</v>
      </c>
      <c r="O8">
        <f>IF(orders[[#This Row],[Delivery Date]]="","",(orders[[#This Row],[Delivery Date]]-orders[[#This Row],[Date]]))</f>
        <v>3</v>
      </c>
      <c r="P8" t="str">
        <f>IF(orders[[#This Row],[delivery days]]="","Not Delivered",IF(orders[[#This Row],[delivery days]]&lt;=2,"Fast",IF(orders[[#This Row],[delivery days]]&lt;=5,"Normal","Delayed")))</f>
        <v>Normal</v>
      </c>
    </row>
    <row r="9" spans="1:16" x14ac:dyDescent="0.25">
      <c r="A9" t="s">
        <v>48</v>
      </c>
      <c r="B9" s="5">
        <v>45660</v>
      </c>
      <c r="C9" t="s">
        <v>49</v>
      </c>
      <c r="D9" t="s">
        <v>45</v>
      </c>
      <c r="E9" t="s">
        <v>34</v>
      </c>
      <c r="F9">
        <v>1</v>
      </c>
      <c r="G9" s="1">
        <v>72</v>
      </c>
      <c r="H9" s="1">
        <v>31</v>
      </c>
      <c r="I9" s="5">
        <v>45665</v>
      </c>
      <c r="J9" t="s">
        <v>23</v>
      </c>
      <c r="K9" t="s">
        <v>24</v>
      </c>
      <c r="L9" t="s">
        <v>25</v>
      </c>
      <c r="M9" s="1">
        <f>(orders[[#This Row],[Revenue]]-orders[[#This Row],[Cost]])</f>
        <v>41</v>
      </c>
      <c r="N9" s="8">
        <f>IFERROR(orders[[#This Row],[profit]]/orders[[#This Row],[Revenue]],0)</f>
        <v>0.56944444444444442</v>
      </c>
      <c r="O9">
        <f>IF(orders[[#This Row],[Delivery Date]]="","",(orders[[#This Row],[Delivery Date]]-orders[[#This Row],[Date]]))</f>
        <v>5</v>
      </c>
      <c r="P9" t="str">
        <f>IF(orders[[#This Row],[delivery days]]="","Not Delivered",IF(orders[[#This Row],[delivery days]]&lt;=2,"Fast",IF(orders[[#This Row],[delivery days]]&lt;=5,"Normal","Delayed")))</f>
        <v>Normal</v>
      </c>
    </row>
    <row r="10" spans="1:16" x14ac:dyDescent="0.25">
      <c r="A10" t="s">
        <v>50</v>
      </c>
      <c r="B10" s="5">
        <v>45660</v>
      </c>
      <c r="C10" t="s">
        <v>20</v>
      </c>
      <c r="D10" t="s">
        <v>51</v>
      </c>
      <c r="E10" t="s">
        <v>34</v>
      </c>
      <c r="F10">
        <v>4</v>
      </c>
      <c r="G10" s="1">
        <v>340</v>
      </c>
      <c r="H10" s="1">
        <v>168</v>
      </c>
      <c r="I10" s="5">
        <v>45667</v>
      </c>
      <c r="J10" t="s">
        <v>52</v>
      </c>
      <c r="K10" t="s">
        <v>24</v>
      </c>
      <c r="L10" t="s">
        <v>25</v>
      </c>
      <c r="M10" s="1">
        <f>(orders[[#This Row],[Revenue]]-orders[[#This Row],[Cost]])</f>
        <v>172</v>
      </c>
      <c r="N10" s="8">
        <f>IFERROR(orders[[#This Row],[profit]]/orders[[#This Row],[Revenue]],0)</f>
        <v>0.50588235294117645</v>
      </c>
      <c r="O10">
        <f>IF(orders[[#This Row],[Delivery Date]]="","",(orders[[#This Row],[Delivery Date]]-orders[[#This Row],[Date]]))</f>
        <v>7</v>
      </c>
      <c r="P10" t="str">
        <f>IF(orders[[#This Row],[delivery days]]="","Not Delivered",IF(orders[[#This Row],[delivery days]]&lt;=2,"Fast",IF(orders[[#This Row],[delivery days]]&lt;=5,"Normal","Delayed")))</f>
        <v>Delayed</v>
      </c>
    </row>
    <row r="11" spans="1:16" x14ac:dyDescent="0.25">
      <c r="A11" t="s">
        <v>53</v>
      </c>
      <c r="B11" s="5">
        <v>45660</v>
      </c>
      <c r="C11" t="s">
        <v>54</v>
      </c>
      <c r="D11" t="s">
        <v>55</v>
      </c>
      <c r="E11" t="s">
        <v>39</v>
      </c>
      <c r="F11">
        <v>1</v>
      </c>
      <c r="G11" s="1">
        <v>420</v>
      </c>
      <c r="H11" s="1">
        <v>280.5</v>
      </c>
      <c r="I11" s="5">
        <v>45662</v>
      </c>
      <c r="J11" t="s">
        <v>23</v>
      </c>
      <c r="K11" t="s">
        <v>17</v>
      </c>
      <c r="L11" t="s">
        <v>25</v>
      </c>
      <c r="M11" s="1">
        <f>(orders[[#This Row],[Revenue]]-orders[[#This Row],[Cost]])</f>
        <v>139.5</v>
      </c>
      <c r="N11" s="8">
        <f>IFERROR(orders[[#This Row],[profit]]/orders[[#This Row],[Revenue]],0)</f>
        <v>0.33214285714285713</v>
      </c>
      <c r="O11">
        <f>IF(orders[[#This Row],[Delivery Date]]="","",(orders[[#This Row],[Delivery Date]]-orders[[#This Row],[Date]]))</f>
        <v>2</v>
      </c>
      <c r="P11" t="str">
        <f>IF(orders[[#This Row],[delivery days]]="","Not Delivered",IF(orders[[#This Row],[delivery days]]&lt;=2,"Fast",IF(orders[[#This Row],[delivery days]]&lt;=5,"Normal","Delayed")))</f>
        <v>Fast</v>
      </c>
    </row>
    <row r="12" spans="1:16" x14ac:dyDescent="0.25">
      <c r="A12" t="s">
        <v>56</v>
      </c>
      <c r="B12" s="5">
        <v>45661</v>
      </c>
      <c r="C12" t="s">
        <v>57</v>
      </c>
      <c r="D12" t="s">
        <v>58</v>
      </c>
      <c r="E12" t="s">
        <v>39</v>
      </c>
      <c r="F12">
        <v>5</v>
      </c>
      <c r="G12" s="1">
        <v>6062.5</v>
      </c>
      <c r="H12" s="1">
        <v>4500</v>
      </c>
      <c r="I12" s="5">
        <v>45665</v>
      </c>
      <c r="J12" t="s">
        <v>23</v>
      </c>
      <c r="K12" t="s">
        <v>17</v>
      </c>
      <c r="L12" t="s">
        <v>25</v>
      </c>
      <c r="M12" s="1">
        <f>(orders[[#This Row],[Revenue]]-orders[[#This Row],[Cost]])</f>
        <v>1562.5</v>
      </c>
      <c r="N12" s="8">
        <f>IFERROR(orders[[#This Row],[profit]]/orders[[#This Row],[Revenue]],0)</f>
        <v>0.25773195876288657</v>
      </c>
      <c r="O12">
        <f>IF(orders[[#This Row],[Delivery Date]]="","",(orders[[#This Row],[Delivery Date]]-orders[[#This Row],[Date]]))</f>
        <v>4</v>
      </c>
      <c r="P12" t="str">
        <f>IF(orders[[#This Row],[delivery days]]="","Not Delivered",IF(orders[[#This Row],[delivery days]]&lt;=2,"Fast",IF(orders[[#This Row],[delivery days]]&lt;=5,"Normal","Delayed")))</f>
        <v>Normal</v>
      </c>
    </row>
    <row r="13" spans="1:16" x14ac:dyDescent="0.25">
      <c r="A13" t="s">
        <v>59</v>
      </c>
      <c r="B13" s="5">
        <v>45662</v>
      </c>
      <c r="C13" t="s">
        <v>60</v>
      </c>
      <c r="D13" t="s">
        <v>61</v>
      </c>
      <c r="E13" t="s">
        <v>62</v>
      </c>
      <c r="F13">
        <v>3</v>
      </c>
      <c r="G13" s="1">
        <v>96</v>
      </c>
      <c r="H13" s="1">
        <v>42</v>
      </c>
      <c r="I13" s="5">
        <v>45663</v>
      </c>
      <c r="J13" t="s">
        <v>30</v>
      </c>
      <c r="K13" t="s">
        <v>35</v>
      </c>
      <c r="L13" t="s">
        <v>25</v>
      </c>
      <c r="M13" s="1">
        <f>(orders[[#This Row],[Revenue]]-orders[[#This Row],[Cost]])</f>
        <v>54</v>
      </c>
      <c r="N13" s="8">
        <f>IFERROR(orders[[#This Row],[profit]]/orders[[#This Row],[Revenue]],0)</f>
        <v>0.5625</v>
      </c>
      <c r="O13">
        <f>IF(orders[[#This Row],[Delivery Date]]="","",(orders[[#This Row],[Delivery Date]]-orders[[#This Row],[Date]]))</f>
        <v>1</v>
      </c>
      <c r="P13" t="str">
        <f>IF(orders[[#This Row],[delivery days]]="","Not Delivered",IF(orders[[#This Row],[delivery days]]&lt;=2,"Fast",IF(orders[[#This Row],[delivery days]]&lt;=5,"Normal","Delayed")))</f>
        <v>Fast</v>
      </c>
    </row>
    <row r="14" spans="1:16" x14ac:dyDescent="0.25">
      <c r="A14" t="s">
        <v>63</v>
      </c>
      <c r="B14" s="5">
        <v>45662</v>
      </c>
      <c r="C14" t="s">
        <v>64</v>
      </c>
      <c r="D14" t="s">
        <v>65</v>
      </c>
      <c r="E14" t="s">
        <v>62</v>
      </c>
      <c r="F14">
        <v>2</v>
      </c>
      <c r="G14" s="1">
        <v>93.12</v>
      </c>
      <c r="H14" s="1">
        <v>42.84</v>
      </c>
      <c r="I14" s="5">
        <v>45664</v>
      </c>
      <c r="J14" t="s">
        <v>16</v>
      </c>
      <c r="K14" t="s">
        <v>17</v>
      </c>
      <c r="L14" t="s">
        <v>25</v>
      </c>
      <c r="M14" s="1">
        <f>(orders[[#This Row],[Revenue]]-orders[[#This Row],[Cost]])</f>
        <v>50.28</v>
      </c>
      <c r="N14" s="8">
        <f>IFERROR(orders[[#This Row],[profit]]/orders[[#This Row],[Revenue]],0)</f>
        <v>0.53994845360824739</v>
      </c>
      <c r="O14">
        <f>IF(orders[[#This Row],[Delivery Date]]="","",(orders[[#This Row],[Delivery Date]]-orders[[#This Row],[Date]]))</f>
        <v>2</v>
      </c>
      <c r="P14" t="str">
        <f>IF(orders[[#This Row],[delivery days]]="","Not Delivered",IF(orders[[#This Row],[delivery days]]&lt;=2,"Fast",IF(orders[[#This Row],[delivery days]]&lt;=5,"Normal","Delayed")))</f>
        <v>Fast</v>
      </c>
    </row>
    <row r="15" spans="1:16" x14ac:dyDescent="0.25">
      <c r="A15" t="s">
        <v>66</v>
      </c>
      <c r="B15" s="5">
        <v>45662</v>
      </c>
      <c r="C15" t="s">
        <v>67</v>
      </c>
      <c r="D15" t="s">
        <v>33</v>
      </c>
      <c r="E15" t="s">
        <v>34</v>
      </c>
      <c r="F15">
        <v>2</v>
      </c>
      <c r="G15" s="1">
        <v>112.52</v>
      </c>
      <c r="H15" s="1">
        <v>50</v>
      </c>
      <c r="I15" s="5"/>
      <c r="J15" t="s">
        <v>23</v>
      </c>
      <c r="K15" t="s">
        <v>17</v>
      </c>
      <c r="L15" t="s">
        <v>42</v>
      </c>
      <c r="M15" s="1">
        <f>(orders[[#This Row],[Revenue]]-orders[[#This Row],[Cost]])</f>
        <v>62.519999999999996</v>
      </c>
      <c r="N15" s="8">
        <f>IFERROR(orders[[#This Row],[profit]]/orders[[#This Row],[Revenue]],0)</f>
        <v>0.55563455385709204</v>
      </c>
      <c r="O15" t="str">
        <f>IF(orders[[#This Row],[Delivery Date]]="","",(orders[[#This Row],[Delivery Date]]-orders[[#This Row],[Date]]))</f>
        <v/>
      </c>
      <c r="P15" t="str">
        <f>IF(orders[[#This Row],[delivery days]]="","Not Delivered",IF(orders[[#This Row],[delivery days]]&lt;=2,"Fast",IF(orders[[#This Row],[delivery days]]&lt;=5,"Normal","Delayed")))</f>
        <v>Not Delivered</v>
      </c>
    </row>
    <row r="16" spans="1:16" x14ac:dyDescent="0.25">
      <c r="A16" t="s">
        <v>68</v>
      </c>
      <c r="B16" s="5">
        <v>45663</v>
      </c>
      <c r="C16" t="s">
        <v>69</v>
      </c>
      <c r="D16" t="s">
        <v>70</v>
      </c>
      <c r="E16" t="s">
        <v>62</v>
      </c>
      <c r="F16">
        <v>1</v>
      </c>
      <c r="G16" s="1">
        <v>135</v>
      </c>
      <c r="H16" s="1">
        <v>78</v>
      </c>
      <c r="I16" s="5">
        <v>45667</v>
      </c>
      <c r="J16" t="s">
        <v>16</v>
      </c>
      <c r="K16" t="s">
        <v>35</v>
      </c>
      <c r="L16" t="s">
        <v>25</v>
      </c>
      <c r="M16" s="1">
        <f>(orders[[#This Row],[Revenue]]-orders[[#This Row],[Cost]])</f>
        <v>57</v>
      </c>
      <c r="N16" s="8">
        <f>IFERROR(orders[[#This Row],[profit]]/orders[[#This Row],[Revenue]],0)</f>
        <v>0.42222222222222222</v>
      </c>
      <c r="O16">
        <f>IF(orders[[#This Row],[Delivery Date]]="","",(orders[[#This Row],[Delivery Date]]-orders[[#This Row],[Date]]))</f>
        <v>4</v>
      </c>
      <c r="P16" t="str">
        <f>IF(orders[[#This Row],[delivery days]]="","Not Delivered",IF(orders[[#This Row],[delivery days]]&lt;=2,"Fast",IF(orders[[#This Row],[delivery days]]&lt;=5,"Normal","Delayed")))</f>
        <v>Normal</v>
      </c>
    </row>
    <row r="17" spans="1:16" x14ac:dyDescent="0.25">
      <c r="A17" t="s">
        <v>71</v>
      </c>
      <c r="B17" s="5">
        <v>45663</v>
      </c>
      <c r="C17" t="s">
        <v>72</v>
      </c>
      <c r="D17" t="s">
        <v>14</v>
      </c>
      <c r="E17" t="s">
        <v>15</v>
      </c>
      <c r="F17">
        <v>4</v>
      </c>
      <c r="G17" s="1">
        <v>103</v>
      </c>
      <c r="H17" s="1">
        <v>36</v>
      </c>
      <c r="I17" s="5"/>
      <c r="J17" t="s">
        <v>30</v>
      </c>
      <c r="K17" t="s">
        <v>17</v>
      </c>
      <c r="L17" t="s">
        <v>42</v>
      </c>
      <c r="M17" s="1">
        <f>(orders[[#This Row],[Revenue]]-orders[[#This Row],[Cost]])</f>
        <v>67</v>
      </c>
      <c r="N17" s="8">
        <f>IFERROR(orders[[#This Row],[profit]]/orders[[#This Row],[Revenue]],0)</f>
        <v>0.65048543689320393</v>
      </c>
      <c r="O17" t="str">
        <f>IF(orders[[#This Row],[Delivery Date]]="","",(orders[[#This Row],[Delivery Date]]-orders[[#This Row],[Date]]))</f>
        <v/>
      </c>
      <c r="P17" t="str">
        <f>IF(orders[[#This Row],[delivery days]]="","Not Delivered",IF(orders[[#This Row],[delivery days]]&lt;=2,"Fast",IF(orders[[#This Row],[delivery days]]&lt;=5,"Normal","Delayed")))</f>
        <v>Not Delivered</v>
      </c>
    </row>
    <row r="18" spans="1:16" x14ac:dyDescent="0.25">
      <c r="A18" t="s">
        <v>73</v>
      </c>
      <c r="B18" s="5">
        <v>45663</v>
      </c>
      <c r="C18" t="s">
        <v>54</v>
      </c>
      <c r="D18" t="s">
        <v>58</v>
      </c>
      <c r="E18" t="s">
        <v>39</v>
      </c>
      <c r="F18">
        <v>1</v>
      </c>
      <c r="G18" s="1">
        <v>1150</v>
      </c>
      <c r="H18" s="1">
        <v>900</v>
      </c>
      <c r="I18" s="5">
        <v>45666</v>
      </c>
      <c r="J18" t="s">
        <v>46</v>
      </c>
      <c r="K18" t="s">
        <v>24</v>
      </c>
      <c r="L18" t="s">
        <v>25</v>
      </c>
      <c r="M18" s="1">
        <f>(orders[[#This Row],[Revenue]]-orders[[#This Row],[Cost]])</f>
        <v>250</v>
      </c>
      <c r="N18" s="8">
        <f>IFERROR(orders[[#This Row],[profit]]/orders[[#This Row],[Revenue]],0)</f>
        <v>0.21739130434782608</v>
      </c>
      <c r="O18">
        <f>IF(orders[[#This Row],[Delivery Date]]="","",(orders[[#This Row],[Delivery Date]]-orders[[#This Row],[Date]]))</f>
        <v>3</v>
      </c>
      <c r="P18" t="str">
        <f>IF(orders[[#This Row],[delivery days]]="","Not Delivered",IF(orders[[#This Row],[delivery days]]&lt;=2,"Fast",IF(orders[[#This Row],[delivery days]]&lt;=5,"Normal","Delayed")))</f>
        <v>Normal</v>
      </c>
    </row>
    <row r="19" spans="1:16" x14ac:dyDescent="0.25">
      <c r="A19" t="s">
        <v>74</v>
      </c>
      <c r="B19" s="5">
        <v>45663</v>
      </c>
      <c r="C19" t="s">
        <v>75</v>
      </c>
      <c r="D19" t="s">
        <v>76</v>
      </c>
      <c r="E19" t="s">
        <v>77</v>
      </c>
      <c r="F19">
        <v>2</v>
      </c>
      <c r="G19" s="1">
        <v>535.6</v>
      </c>
      <c r="H19" s="1">
        <v>323.39999999999998</v>
      </c>
      <c r="I19" s="5">
        <v>45669</v>
      </c>
      <c r="J19" t="s">
        <v>30</v>
      </c>
      <c r="K19" t="s">
        <v>17</v>
      </c>
      <c r="L19" t="s">
        <v>25</v>
      </c>
      <c r="M19" s="1">
        <f>(orders[[#This Row],[Revenue]]-orders[[#This Row],[Cost]])</f>
        <v>212.20000000000005</v>
      </c>
      <c r="N19" s="8">
        <f>IFERROR(orders[[#This Row],[profit]]/orders[[#This Row],[Revenue]],0)</f>
        <v>0.39619118745332343</v>
      </c>
      <c r="O19">
        <f>IF(orders[[#This Row],[Delivery Date]]="","",(orders[[#This Row],[Delivery Date]]-orders[[#This Row],[Date]]))</f>
        <v>6</v>
      </c>
      <c r="P19" t="str">
        <f>IF(orders[[#This Row],[delivery days]]="","Not Delivered",IF(orders[[#This Row],[delivery days]]&lt;=2,"Fast",IF(orders[[#This Row],[delivery days]]&lt;=5,"Normal","Delayed")))</f>
        <v>Delayed</v>
      </c>
    </row>
    <row r="20" spans="1:16" x14ac:dyDescent="0.25">
      <c r="A20" t="s">
        <v>78</v>
      </c>
      <c r="B20" s="5">
        <v>45664</v>
      </c>
      <c r="C20" t="s">
        <v>79</v>
      </c>
      <c r="D20" t="s">
        <v>80</v>
      </c>
      <c r="E20" t="s">
        <v>77</v>
      </c>
      <c r="F20">
        <v>1</v>
      </c>
      <c r="G20" s="1">
        <v>75</v>
      </c>
      <c r="H20" s="1">
        <v>38</v>
      </c>
      <c r="I20" s="5">
        <v>45665</v>
      </c>
      <c r="J20" t="s">
        <v>30</v>
      </c>
      <c r="K20" t="s">
        <v>17</v>
      </c>
      <c r="L20" t="s">
        <v>25</v>
      </c>
      <c r="M20" s="1">
        <f>(orders[[#This Row],[Revenue]]-orders[[#This Row],[Cost]])</f>
        <v>37</v>
      </c>
      <c r="N20" s="8">
        <f>IFERROR(orders[[#This Row],[profit]]/orders[[#This Row],[Revenue]],0)</f>
        <v>0.49333333333333335</v>
      </c>
      <c r="O20">
        <f>IF(orders[[#This Row],[Delivery Date]]="","",(orders[[#This Row],[Delivery Date]]-orders[[#This Row],[Date]]))</f>
        <v>1</v>
      </c>
      <c r="P20" t="str">
        <f>IF(orders[[#This Row],[delivery days]]="","Not Delivered",IF(orders[[#This Row],[delivery days]]&lt;=2,"Fast",IF(orders[[#This Row],[delivery days]]&lt;=5,"Normal","Delayed")))</f>
        <v>Fast</v>
      </c>
    </row>
    <row r="21" spans="1:16" x14ac:dyDescent="0.25">
      <c r="A21" t="s">
        <v>81</v>
      </c>
      <c r="B21" s="5">
        <v>45664</v>
      </c>
      <c r="C21" t="s">
        <v>82</v>
      </c>
      <c r="D21" t="s">
        <v>83</v>
      </c>
      <c r="E21" t="s">
        <v>15</v>
      </c>
      <c r="F21">
        <v>3</v>
      </c>
      <c r="G21" s="1">
        <v>225</v>
      </c>
      <c r="H21" s="1">
        <v>117</v>
      </c>
      <c r="I21" s="5">
        <v>45670</v>
      </c>
      <c r="J21" t="s">
        <v>52</v>
      </c>
      <c r="K21" t="s">
        <v>24</v>
      </c>
      <c r="L21" t="s">
        <v>25</v>
      </c>
      <c r="M21" s="1">
        <f>(orders[[#This Row],[Revenue]]-orders[[#This Row],[Cost]])</f>
        <v>108</v>
      </c>
      <c r="N21" s="8">
        <f>IFERROR(orders[[#This Row],[profit]]/orders[[#This Row],[Revenue]],0)</f>
        <v>0.48</v>
      </c>
      <c r="O21">
        <f>IF(orders[[#This Row],[Delivery Date]]="","",(orders[[#This Row],[Delivery Date]]-orders[[#This Row],[Date]]))</f>
        <v>6</v>
      </c>
      <c r="P21" t="str">
        <f>IF(orders[[#This Row],[delivery days]]="","Not Delivered",IF(orders[[#This Row],[delivery days]]&lt;=2,"Fast",IF(orders[[#This Row],[delivery days]]&lt;=5,"Normal","Delayed")))</f>
        <v>Delayed</v>
      </c>
    </row>
    <row r="22" spans="1:16" x14ac:dyDescent="0.25">
      <c r="A22" t="s">
        <v>84</v>
      </c>
      <c r="B22" s="5">
        <v>45665</v>
      </c>
      <c r="C22" t="s">
        <v>37</v>
      </c>
      <c r="D22" t="s">
        <v>55</v>
      </c>
      <c r="E22" t="s">
        <v>39</v>
      </c>
      <c r="F22">
        <v>1</v>
      </c>
      <c r="G22" s="1">
        <v>432.6</v>
      </c>
      <c r="H22" s="1">
        <v>275</v>
      </c>
      <c r="I22" s="5"/>
      <c r="J22" t="s">
        <v>16</v>
      </c>
      <c r="K22" t="s">
        <v>35</v>
      </c>
      <c r="L22" t="s">
        <v>42</v>
      </c>
      <c r="M22" s="1">
        <f>(orders[[#This Row],[Revenue]]-orders[[#This Row],[Cost]])</f>
        <v>157.60000000000002</v>
      </c>
      <c r="N22" s="8">
        <f>IFERROR(orders[[#This Row],[profit]]/orders[[#This Row],[Revenue]],0)</f>
        <v>0.36430883032824785</v>
      </c>
      <c r="O22" t="str">
        <f>IF(orders[[#This Row],[Delivery Date]]="","",(orders[[#This Row],[Delivery Date]]-orders[[#This Row],[Date]]))</f>
        <v/>
      </c>
      <c r="P22" t="str">
        <f>IF(orders[[#This Row],[delivery days]]="","Not Delivered",IF(orders[[#This Row],[delivery days]]&lt;=2,"Fast",IF(orders[[#This Row],[delivery days]]&lt;=5,"Normal","Delayed")))</f>
        <v>Not Delivered</v>
      </c>
    </row>
    <row r="23" spans="1:16" x14ac:dyDescent="0.25">
      <c r="A23" t="s">
        <v>85</v>
      </c>
      <c r="B23" s="5">
        <v>45666</v>
      </c>
      <c r="C23" t="s">
        <v>60</v>
      </c>
      <c r="D23" t="s">
        <v>86</v>
      </c>
      <c r="E23" t="s">
        <v>29</v>
      </c>
      <c r="F23">
        <v>2</v>
      </c>
      <c r="G23" s="1">
        <v>56.26</v>
      </c>
      <c r="H23" s="1">
        <v>23.52</v>
      </c>
      <c r="I23" s="5">
        <v>45669</v>
      </c>
      <c r="J23" t="s">
        <v>46</v>
      </c>
      <c r="K23" t="s">
        <v>47</v>
      </c>
      <c r="L23" t="s">
        <v>25</v>
      </c>
      <c r="M23" s="1">
        <f>(orders[[#This Row],[Revenue]]-orders[[#This Row],[Cost]])</f>
        <v>32.739999999999995</v>
      </c>
      <c r="N23" s="8">
        <f>IFERROR(orders[[#This Row],[profit]]/orders[[#This Row],[Revenue]],0)</f>
        <v>0.58194098826875218</v>
      </c>
      <c r="O23">
        <f>IF(orders[[#This Row],[Delivery Date]]="","",(orders[[#This Row],[Delivery Date]]-orders[[#This Row],[Date]]))</f>
        <v>3</v>
      </c>
      <c r="P23" t="str">
        <f>IF(orders[[#This Row],[delivery days]]="","Not Delivered",IF(orders[[#This Row],[delivery days]]&lt;=2,"Fast",IF(orders[[#This Row],[delivery days]]&lt;=5,"Normal","Delayed")))</f>
        <v>Normal</v>
      </c>
    </row>
    <row r="24" spans="1:16" x14ac:dyDescent="0.25">
      <c r="A24" t="s">
        <v>87</v>
      </c>
      <c r="B24" s="5">
        <v>45666</v>
      </c>
      <c r="C24" t="s">
        <v>88</v>
      </c>
      <c r="D24" t="s">
        <v>14</v>
      </c>
      <c r="E24" t="s">
        <v>15</v>
      </c>
      <c r="F24">
        <v>1</v>
      </c>
      <c r="G24" s="1">
        <v>25.75</v>
      </c>
      <c r="H24" s="1">
        <v>9</v>
      </c>
      <c r="I24" s="5">
        <v>45668</v>
      </c>
      <c r="J24" t="s">
        <v>30</v>
      </c>
      <c r="K24" t="s">
        <v>17</v>
      </c>
      <c r="L24" t="s">
        <v>25</v>
      </c>
      <c r="M24" s="1">
        <f>(orders[[#This Row],[Revenue]]-orders[[#This Row],[Cost]])</f>
        <v>16.75</v>
      </c>
      <c r="N24" s="8">
        <f>IFERROR(orders[[#This Row],[profit]]/orders[[#This Row],[Revenue]],0)</f>
        <v>0.65048543689320393</v>
      </c>
      <c r="O24">
        <f>IF(orders[[#This Row],[Delivery Date]]="","",(orders[[#This Row],[Delivery Date]]-orders[[#This Row],[Date]]))</f>
        <v>2</v>
      </c>
      <c r="P24" t="str">
        <f>IF(orders[[#This Row],[delivery days]]="","Not Delivered",IF(orders[[#This Row],[delivery days]]&lt;=2,"Fast",IF(orders[[#This Row],[delivery days]]&lt;=5,"Normal","Delayed")))</f>
        <v>Fast</v>
      </c>
    </row>
    <row r="25" spans="1:16" x14ac:dyDescent="0.25">
      <c r="A25" t="s">
        <v>89</v>
      </c>
      <c r="B25" s="5">
        <v>45667</v>
      </c>
      <c r="C25" t="s">
        <v>90</v>
      </c>
      <c r="D25" t="s">
        <v>65</v>
      </c>
      <c r="E25" t="s">
        <v>62</v>
      </c>
      <c r="F25">
        <v>4</v>
      </c>
      <c r="G25" s="1">
        <v>197.76</v>
      </c>
      <c r="H25" s="1">
        <v>84</v>
      </c>
      <c r="I25" s="5">
        <v>45671</v>
      </c>
      <c r="J25" t="s">
        <v>52</v>
      </c>
      <c r="K25" t="s">
        <v>24</v>
      </c>
      <c r="L25" t="s">
        <v>25</v>
      </c>
      <c r="M25" s="1">
        <f>(orders[[#This Row],[Revenue]]-orders[[#This Row],[Cost]])</f>
        <v>113.75999999999999</v>
      </c>
      <c r="N25" s="8">
        <f>IFERROR(orders[[#This Row],[profit]]/orders[[#This Row],[Revenue]],0)</f>
        <v>0.57524271844660191</v>
      </c>
      <c r="O25">
        <f>IF(orders[[#This Row],[Delivery Date]]="","",(orders[[#This Row],[Delivery Date]]-orders[[#This Row],[Date]]))</f>
        <v>4</v>
      </c>
      <c r="P25" t="str">
        <f>IF(orders[[#This Row],[delivery days]]="","Not Delivered",IF(orders[[#This Row],[delivery days]]&lt;=2,"Fast",IF(orders[[#This Row],[delivery days]]&lt;=5,"Normal","Delayed")))</f>
        <v>Normal</v>
      </c>
    </row>
    <row r="26" spans="1:16" x14ac:dyDescent="0.25">
      <c r="A26" t="s">
        <v>91</v>
      </c>
      <c r="B26" s="5">
        <v>45668</v>
      </c>
      <c r="C26" t="s">
        <v>92</v>
      </c>
      <c r="D26" t="s">
        <v>33</v>
      </c>
      <c r="E26" t="s">
        <v>34</v>
      </c>
      <c r="F26">
        <v>2</v>
      </c>
      <c r="G26" s="1">
        <v>125.28</v>
      </c>
      <c r="H26" s="1">
        <v>50</v>
      </c>
      <c r="I26" s="5">
        <v>45670</v>
      </c>
      <c r="J26" t="s">
        <v>30</v>
      </c>
      <c r="K26" t="s">
        <v>35</v>
      </c>
      <c r="L26" t="s">
        <v>25</v>
      </c>
      <c r="M26" s="1">
        <f>(orders[[#This Row],[Revenue]]-orders[[#This Row],[Cost]])</f>
        <v>75.28</v>
      </c>
      <c r="N26" s="8">
        <f>IFERROR(orders[[#This Row],[profit]]/orders[[#This Row],[Revenue]],0)</f>
        <v>0.60089399744572158</v>
      </c>
      <c r="O26">
        <f>IF(orders[[#This Row],[Delivery Date]]="","",(orders[[#This Row],[Delivery Date]]-orders[[#This Row],[Date]]))</f>
        <v>2</v>
      </c>
      <c r="P26" t="str">
        <f>IF(orders[[#This Row],[delivery days]]="","Not Delivered",IF(orders[[#This Row],[delivery days]]&lt;=2,"Fast",IF(orders[[#This Row],[delivery days]]&lt;=5,"Normal","Delayed")))</f>
        <v>Fast</v>
      </c>
    </row>
    <row r="27" spans="1:16" x14ac:dyDescent="0.25">
      <c r="A27" t="s">
        <v>93</v>
      </c>
      <c r="B27" s="5">
        <v>45668</v>
      </c>
      <c r="C27" t="s">
        <v>94</v>
      </c>
      <c r="D27" t="s">
        <v>28</v>
      </c>
      <c r="E27" t="s">
        <v>29</v>
      </c>
      <c r="F27">
        <v>2</v>
      </c>
      <c r="G27" s="1">
        <v>51.84</v>
      </c>
      <c r="H27" s="1">
        <v>18</v>
      </c>
      <c r="I27" s="5">
        <v>45670</v>
      </c>
      <c r="J27" t="s">
        <v>30</v>
      </c>
      <c r="K27" t="s">
        <v>17</v>
      </c>
      <c r="L27" t="s">
        <v>25</v>
      </c>
      <c r="M27" s="1">
        <f>(orders[[#This Row],[Revenue]]-orders[[#This Row],[Cost]])</f>
        <v>33.840000000000003</v>
      </c>
      <c r="N27" s="8">
        <f>IFERROR(orders[[#This Row],[profit]]/orders[[#This Row],[Revenue]],0)</f>
        <v>0.65277777777777779</v>
      </c>
      <c r="O27">
        <f>IF(orders[[#This Row],[Delivery Date]]="","",(orders[[#This Row],[Delivery Date]]-orders[[#This Row],[Date]]))</f>
        <v>2</v>
      </c>
      <c r="P27" t="str">
        <f>IF(orders[[#This Row],[delivery days]]="","Not Delivered",IF(orders[[#This Row],[delivery days]]&lt;=2,"Fast",IF(orders[[#This Row],[delivery days]]&lt;=5,"Normal","Delayed")))</f>
        <v>Fast</v>
      </c>
    </row>
    <row r="28" spans="1:16" x14ac:dyDescent="0.25">
      <c r="A28" t="s">
        <v>95</v>
      </c>
      <c r="B28" s="5">
        <v>45668</v>
      </c>
      <c r="C28" t="s">
        <v>96</v>
      </c>
      <c r="D28" t="s">
        <v>97</v>
      </c>
      <c r="E28" t="s">
        <v>39</v>
      </c>
      <c r="F28">
        <v>1</v>
      </c>
      <c r="G28" s="1">
        <v>390</v>
      </c>
      <c r="H28" s="1">
        <v>260</v>
      </c>
      <c r="I28" s="5">
        <v>45670</v>
      </c>
      <c r="J28" t="s">
        <v>16</v>
      </c>
      <c r="K28" t="s">
        <v>35</v>
      </c>
      <c r="L28" t="s">
        <v>25</v>
      </c>
      <c r="M28" s="1">
        <f>(orders[[#This Row],[Revenue]]-orders[[#This Row],[Cost]])</f>
        <v>130</v>
      </c>
      <c r="N28" s="8">
        <f>IFERROR(orders[[#This Row],[profit]]/orders[[#This Row],[Revenue]],0)</f>
        <v>0.33333333333333331</v>
      </c>
      <c r="O28">
        <f>IF(orders[[#This Row],[Delivery Date]]="","",(orders[[#This Row],[Delivery Date]]-orders[[#This Row],[Date]]))</f>
        <v>2</v>
      </c>
      <c r="P28" t="str">
        <f>IF(orders[[#This Row],[delivery days]]="","Not Delivered",IF(orders[[#This Row],[delivery days]]&lt;=2,"Fast",IF(orders[[#This Row],[delivery days]]&lt;=5,"Normal","Delayed")))</f>
        <v>Fast</v>
      </c>
    </row>
    <row r="29" spans="1:16" x14ac:dyDescent="0.25">
      <c r="A29" t="s">
        <v>98</v>
      </c>
      <c r="B29" s="5">
        <v>45670</v>
      </c>
      <c r="C29" t="s">
        <v>99</v>
      </c>
      <c r="D29" t="s">
        <v>100</v>
      </c>
      <c r="E29" t="s">
        <v>34</v>
      </c>
      <c r="F29">
        <v>1</v>
      </c>
      <c r="G29" s="1">
        <v>50.44</v>
      </c>
      <c r="H29" s="1">
        <v>23</v>
      </c>
      <c r="I29" s="5">
        <v>45673</v>
      </c>
      <c r="J29" t="s">
        <v>101</v>
      </c>
      <c r="K29" t="s">
        <v>47</v>
      </c>
      <c r="L29" t="s">
        <v>25</v>
      </c>
      <c r="M29" s="1">
        <f>(orders[[#This Row],[Revenue]]-orders[[#This Row],[Cost]])</f>
        <v>27.439999999999998</v>
      </c>
      <c r="N29" s="8">
        <f>IFERROR(orders[[#This Row],[profit]]/orders[[#This Row],[Revenue]],0)</f>
        <v>0.5440126883425852</v>
      </c>
      <c r="O29">
        <f>IF(orders[[#This Row],[Delivery Date]]="","",(orders[[#This Row],[Delivery Date]]-orders[[#This Row],[Date]]))</f>
        <v>3</v>
      </c>
      <c r="P29" t="str">
        <f>IF(orders[[#This Row],[delivery days]]="","Not Delivered",IF(orders[[#This Row],[delivery days]]&lt;=2,"Fast",IF(orders[[#This Row],[delivery days]]&lt;=5,"Normal","Delayed")))</f>
        <v>Normal</v>
      </c>
    </row>
    <row r="30" spans="1:16" x14ac:dyDescent="0.25">
      <c r="A30" t="s">
        <v>102</v>
      </c>
      <c r="B30" s="5">
        <v>45670</v>
      </c>
      <c r="C30" t="s">
        <v>54</v>
      </c>
      <c r="D30" t="s">
        <v>33</v>
      </c>
      <c r="E30" t="s">
        <v>34</v>
      </c>
      <c r="F30">
        <v>4</v>
      </c>
      <c r="G30" s="1">
        <v>232</v>
      </c>
      <c r="H30" s="1">
        <v>100</v>
      </c>
      <c r="I30" s="5"/>
      <c r="J30" t="s">
        <v>16</v>
      </c>
      <c r="K30" t="s">
        <v>35</v>
      </c>
      <c r="L30" t="s">
        <v>103</v>
      </c>
      <c r="M30" s="1">
        <f>(orders[[#This Row],[Revenue]]-orders[[#This Row],[Cost]])</f>
        <v>132</v>
      </c>
      <c r="N30" s="8">
        <f>IFERROR(orders[[#This Row],[profit]]/orders[[#This Row],[Revenue]],0)</f>
        <v>0.56896551724137934</v>
      </c>
      <c r="O30" t="str">
        <f>IF(orders[[#This Row],[Delivery Date]]="","",(orders[[#This Row],[Delivery Date]]-orders[[#This Row],[Date]]))</f>
        <v/>
      </c>
      <c r="P30" t="str">
        <f>IF(orders[[#This Row],[delivery days]]="","Not Delivered",IF(orders[[#This Row],[delivery days]]&lt;=2,"Fast",IF(orders[[#This Row],[delivery days]]&lt;=5,"Normal","Delayed")))</f>
        <v>Not Delivered</v>
      </c>
    </row>
    <row r="31" spans="1:16" x14ac:dyDescent="0.25">
      <c r="A31" t="s">
        <v>104</v>
      </c>
      <c r="B31" s="5">
        <v>45671</v>
      </c>
      <c r="C31" t="s">
        <v>105</v>
      </c>
      <c r="D31" t="s">
        <v>65</v>
      </c>
      <c r="E31" t="s">
        <v>62</v>
      </c>
      <c r="F31">
        <v>4</v>
      </c>
      <c r="G31" s="1">
        <v>192</v>
      </c>
      <c r="H31" s="1">
        <v>84</v>
      </c>
      <c r="I31" s="5">
        <v>45673</v>
      </c>
      <c r="J31" t="s">
        <v>30</v>
      </c>
      <c r="K31" t="s">
        <v>35</v>
      </c>
      <c r="L31" t="s">
        <v>25</v>
      </c>
      <c r="M31" s="1">
        <f>(orders[[#This Row],[Revenue]]-orders[[#This Row],[Cost]])</f>
        <v>108</v>
      </c>
      <c r="N31" s="8">
        <f>IFERROR(orders[[#This Row],[profit]]/orders[[#This Row],[Revenue]],0)</f>
        <v>0.5625</v>
      </c>
      <c r="O31">
        <f>IF(orders[[#This Row],[Delivery Date]]="","",(orders[[#This Row],[Delivery Date]]-orders[[#This Row],[Date]]))</f>
        <v>2</v>
      </c>
      <c r="P31" t="str">
        <f>IF(orders[[#This Row],[delivery days]]="","Not Delivered",IF(orders[[#This Row],[delivery days]]&lt;=2,"Fast",IF(orders[[#This Row],[delivery days]]&lt;=5,"Normal","Delayed")))</f>
        <v>Fast</v>
      </c>
    </row>
    <row r="32" spans="1:16" x14ac:dyDescent="0.25">
      <c r="A32" t="s">
        <v>106</v>
      </c>
      <c r="B32" s="5">
        <v>45671</v>
      </c>
      <c r="C32" t="s">
        <v>107</v>
      </c>
      <c r="D32" t="s">
        <v>108</v>
      </c>
      <c r="E32" t="s">
        <v>22</v>
      </c>
      <c r="F32">
        <v>3</v>
      </c>
      <c r="G32" s="1">
        <v>276.45</v>
      </c>
      <c r="H32" s="1">
        <v>123.48</v>
      </c>
      <c r="I32" s="5">
        <v>45674</v>
      </c>
      <c r="J32" t="s">
        <v>101</v>
      </c>
      <c r="K32" t="s">
        <v>35</v>
      </c>
      <c r="L32" t="s">
        <v>25</v>
      </c>
      <c r="M32" s="1">
        <f>(orders[[#This Row],[Revenue]]-orders[[#This Row],[Cost]])</f>
        <v>152.96999999999997</v>
      </c>
      <c r="N32" s="8">
        <f>IFERROR(orders[[#This Row],[profit]]/orders[[#This Row],[Revenue]],0)</f>
        <v>0.55333695062398258</v>
      </c>
      <c r="O32">
        <f>IF(orders[[#This Row],[Delivery Date]]="","",(orders[[#This Row],[Delivery Date]]-orders[[#This Row],[Date]]))</f>
        <v>3</v>
      </c>
      <c r="P32" t="str">
        <f>IF(orders[[#This Row],[delivery days]]="","Not Delivered",IF(orders[[#This Row],[delivery days]]&lt;=2,"Fast",IF(orders[[#This Row],[delivery days]]&lt;=5,"Normal","Delayed")))</f>
        <v>Normal</v>
      </c>
    </row>
    <row r="33" spans="1:16" x14ac:dyDescent="0.25">
      <c r="A33" t="s">
        <v>109</v>
      </c>
      <c r="B33" s="5">
        <v>45672</v>
      </c>
      <c r="C33" t="s">
        <v>82</v>
      </c>
      <c r="D33" t="s">
        <v>110</v>
      </c>
      <c r="E33" t="s">
        <v>39</v>
      </c>
      <c r="F33">
        <v>2</v>
      </c>
      <c r="G33" s="1">
        <v>420</v>
      </c>
      <c r="H33" s="1">
        <v>245</v>
      </c>
      <c r="I33" s="5">
        <v>45675</v>
      </c>
      <c r="J33" t="s">
        <v>16</v>
      </c>
      <c r="K33" t="s">
        <v>17</v>
      </c>
      <c r="L33" t="s">
        <v>18</v>
      </c>
      <c r="M33" s="1">
        <f>(orders[[#This Row],[Revenue]]-orders[[#This Row],[Cost]])</f>
        <v>175</v>
      </c>
      <c r="N33" s="8">
        <f>IFERROR(orders[[#This Row],[profit]]/orders[[#This Row],[Revenue]],0)</f>
        <v>0.41666666666666669</v>
      </c>
      <c r="O33">
        <f>IF(orders[[#This Row],[Delivery Date]]="","",(orders[[#This Row],[Delivery Date]]-orders[[#This Row],[Date]]))</f>
        <v>3</v>
      </c>
      <c r="P33" t="str">
        <f>IF(orders[[#This Row],[delivery days]]="","Not Delivered",IF(orders[[#This Row],[delivery days]]&lt;=2,"Fast",IF(orders[[#This Row],[delivery days]]&lt;=5,"Normal","Delayed")))</f>
        <v>Normal</v>
      </c>
    </row>
    <row r="34" spans="1:16" x14ac:dyDescent="0.25">
      <c r="A34" t="s">
        <v>111</v>
      </c>
      <c r="B34" s="5">
        <v>45672</v>
      </c>
      <c r="C34" t="s">
        <v>112</v>
      </c>
      <c r="D34" t="s">
        <v>113</v>
      </c>
      <c r="E34" t="s">
        <v>15</v>
      </c>
      <c r="F34">
        <v>2</v>
      </c>
      <c r="G34" s="1">
        <v>190</v>
      </c>
      <c r="H34" s="1">
        <v>96</v>
      </c>
      <c r="I34" s="5">
        <v>45676</v>
      </c>
      <c r="J34" t="s">
        <v>46</v>
      </c>
      <c r="K34" t="s">
        <v>24</v>
      </c>
      <c r="L34" t="s">
        <v>25</v>
      </c>
      <c r="M34" s="1">
        <f>(orders[[#This Row],[Revenue]]-orders[[#This Row],[Cost]])</f>
        <v>94</v>
      </c>
      <c r="N34" s="8">
        <f>IFERROR(orders[[#This Row],[profit]]/orders[[#This Row],[Revenue]],0)</f>
        <v>0.49473684210526314</v>
      </c>
      <c r="O34">
        <f>IF(orders[[#This Row],[Delivery Date]]="","",(orders[[#This Row],[Delivery Date]]-orders[[#This Row],[Date]]))</f>
        <v>4</v>
      </c>
      <c r="P34" t="str">
        <f>IF(orders[[#This Row],[delivery days]]="","Not Delivered",IF(orders[[#This Row],[delivery days]]&lt;=2,"Fast",IF(orders[[#This Row],[delivery days]]&lt;=5,"Normal","Delayed")))</f>
        <v>Normal</v>
      </c>
    </row>
    <row r="35" spans="1:16" x14ac:dyDescent="0.25">
      <c r="A35" t="s">
        <v>114</v>
      </c>
      <c r="B35" s="5">
        <v>45673</v>
      </c>
      <c r="C35" t="s">
        <v>41</v>
      </c>
      <c r="D35" t="s">
        <v>55</v>
      </c>
      <c r="E35" t="s">
        <v>39</v>
      </c>
      <c r="F35">
        <v>4</v>
      </c>
      <c r="G35" s="1">
        <v>1680</v>
      </c>
      <c r="H35" s="1">
        <v>1100</v>
      </c>
      <c r="I35" s="5">
        <v>45677</v>
      </c>
      <c r="J35" t="s">
        <v>46</v>
      </c>
      <c r="K35" t="s">
        <v>24</v>
      </c>
      <c r="L35" t="s">
        <v>25</v>
      </c>
      <c r="M35" s="1">
        <f>(orders[[#This Row],[Revenue]]-orders[[#This Row],[Cost]])</f>
        <v>580</v>
      </c>
      <c r="N35" s="8">
        <f>IFERROR(orders[[#This Row],[profit]]/orders[[#This Row],[Revenue]],0)</f>
        <v>0.34523809523809523</v>
      </c>
      <c r="O35">
        <f>IF(orders[[#This Row],[Delivery Date]]="","",(orders[[#This Row],[Delivery Date]]-orders[[#This Row],[Date]]))</f>
        <v>4</v>
      </c>
      <c r="P35" t="str">
        <f>IF(orders[[#This Row],[delivery days]]="","Not Delivered",IF(orders[[#This Row],[delivery days]]&lt;=2,"Fast",IF(orders[[#This Row],[delivery days]]&lt;=5,"Normal","Delayed")))</f>
        <v>Normal</v>
      </c>
    </row>
    <row r="36" spans="1:16" x14ac:dyDescent="0.25">
      <c r="A36" t="s">
        <v>115</v>
      </c>
      <c r="B36" s="5">
        <v>45673</v>
      </c>
      <c r="C36" t="s">
        <v>116</v>
      </c>
      <c r="D36" t="s">
        <v>110</v>
      </c>
      <c r="E36" t="s">
        <v>39</v>
      </c>
      <c r="F36">
        <v>2</v>
      </c>
      <c r="G36" s="1">
        <v>432.6</v>
      </c>
      <c r="H36" s="1">
        <v>250</v>
      </c>
      <c r="I36" s="5">
        <v>45676</v>
      </c>
      <c r="J36" t="s">
        <v>46</v>
      </c>
      <c r="K36" t="s">
        <v>47</v>
      </c>
      <c r="L36" t="s">
        <v>25</v>
      </c>
      <c r="M36" s="1">
        <f>(orders[[#This Row],[Revenue]]-orders[[#This Row],[Cost]])</f>
        <v>182.60000000000002</v>
      </c>
      <c r="N36" s="8">
        <f>IFERROR(orders[[#This Row],[profit]]/orders[[#This Row],[Revenue]],0)</f>
        <v>0.42209893666204351</v>
      </c>
      <c r="O36">
        <f>IF(orders[[#This Row],[Delivery Date]]="","",(orders[[#This Row],[Delivery Date]]-orders[[#This Row],[Date]]))</f>
        <v>3</v>
      </c>
      <c r="P36" t="str">
        <f>IF(orders[[#This Row],[delivery days]]="","Not Delivered",IF(orders[[#This Row],[delivery days]]&lt;=2,"Fast",IF(orders[[#This Row],[delivery days]]&lt;=5,"Normal","Delayed")))</f>
        <v>Normal</v>
      </c>
    </row>
    <row r="37" spans="1:16" x14ac:dyDescent="0.25">
      <c r="A37" t="s">
        <v>117</v>
      </c>
      <c r="B37" s="5">
        <v>45674</v>
      </c>
      <c r="C37" t="s">
        <v>27</v>
      </c>
      <c r="D37" t="s">
        <v>70</v>
      </c>
      <c r="E37" t="s">
        <v>62</v>
      </c>
      <c r="F37">
        <v>1</v>
      </c>
      <c r="G37" s="1">
        <v>130.94999999999999</v>
      </c>
      <c r="H37" s="1">
        <v>76.44</v>
      </c>
      <c r="I37" s="5">
        <v>45677</v>
      </c>
      <c r="J37" t="s">
        <v>46</v>
      </c>
      <c r="K37" t="s">
        <v>47</v>
      </c>
      <c r="L37" t="s">
        <v>25</v>
      </c>
      <c r="M37" s="1">
        <f>(orders[[#This Row],[Revenue]]-orders[[#This Row],[Cost]])</f>
        <v>54.509999999999991</v>
      </c>
      <c r="N37" s="8">
        <f>IFERROR(orders[[#This Row],[profit]]/orders[[#This Row],[Revenue]],0)</f>
        <v>0.41626575028636881</v>
      </c>
      <c r="O37">
        <f>IF(orders[[#This Row],[Delivery Date]]="","",(orders[[#This Row],[Delivery Date]]-orders[[#This Row],[Date]]))</f>
        <v>3</v>
      </c>
      <c r="P37" t="str">
        <f>IF(orders[[#This Row],[delivery days]]="","Not Delivered",IF(orders[[#This Row],[delivery days]]&lt;=2,"Fast",IF(orders[[#This Row],[delivery days]]&lt;=5,"Normal","Delayed")))</f>
        <v>Normal</v>
      </c>
    </row>
    <row r="38" spans="1:16" x14ac:dyDescent="0.25">
      <c r="A38" t="s">
        <v>118</v>
      </c>
      <c r="B38" s="5">
        <v>45675</v>
      </c>
      <c r="C38" t="s">
        <v>112</v>
      </c>
      <c r="D38" t="s">
        <v>119</v>
      </c>
      <c r="E38" t="s">
        <v>39</v>
      </c>
      <c r="F38">
        <v>5</v>
      </c>
      <c r="G38" s="1">
        <v>275</v>
      </c>
      <c r="H38" s="1">
        <v>140</v>
      </c>
      <c r="I38" s="5">
        <v>45676</v>
      </c>
      <c r="J38" t="s">
        <v>30</v>
      </c>
      <c r="K38" t="s">
        <v>17</v>
      </c>
      <c r="L38" t="s">
        <v>25</v>
      </c>
      <c r="M38" s="1">
        <f>(orders[[#This Row],[Revenue]]-orders[[#This Row],[Cost]])</f>
        <v>135</v>
      </c>
      <c r="N38" s="8">
        <f>IFERROR(orders[[#This Row],[profit]]/orders[[#This Row],[Revenue]],0)</f>
        <v>0.49090909090909091</v>
      </c>
      <c r="O38">
        <f>IF(orders[[#This Row],[Delivery Date]]="","",(orders[[#This Row],[Delivery Date]]-orders[[#This Row],[Date]]))</f>
        <v>1</v>
      </c>
      <c r="P38" t="str">
        <f>IF(orders[[#This Row],[delivery days]]="","Not Delivered",IF(orders[[#This Row],[delivery days]]&lt;=2,"Fast",IF(orders[[#This Row],[delivery days]]&lt;=5,"Normal","Delayed")))</f>
        <v>Fast</v>
      </c>
    </row>
    <row r="39" spans="1:16" x14ac:dyDescent="0.25">
      <c r="A39" t="s">
        <v>120</v>
      </c>
      <c r="B39" s="5">
        <v>45676</v>
      </c>
      <c r="C39" t="s">
        <v>121</v>
      </c>
      <c r="D39" t="s">
        <v>51</v>
      </c>
      <c r="E39" t="s">
        <v>34</v>
      </c>
      <c r="F39">
        <v>1</v>
      </c>
      <c r="G39" s="1">
        <v>85</v>
      </c>
      <c r="H39" s="1">
        <v>41.16</v>
      </c>
      <c r="I39" s="5">
        <v>45680</v>
      </c>
      <c r="J39" t="s">
        <v>46</v>
      </c>
      <c r="K39" t="s">
        <v>47</v>
      </c>
      <c r="L39" t="s">
        <v>25</v>
      </c>
      <c r="M39" s="1">
        <f>(orders[[#This Row],[Revenue]]-orders[[#This Row],[Cost]])</f>
        <v>43.84</v>
      </c>
      <c r="N39" s="8">
        <f>IFERROR(orders[[#This Row],[profit]]/orders[[#This Row],[Revenue]],0)</f>
        <v>0.51576470588235301</v>
      </c>
      <c r="O39">
        <f>IF(orders[[#This Row],[Delivery Date]]="","",(orders[[#This Row],[Delivery Date]]-orders[[#This Row],[Date]]))</f>
        <v>4</v>
      </c>
      <c r="P39" t="str">
        <f>IF(orders[[#This Row],[delivery days]]="","Not Delivered",IF(orders[[#This Row],[delivery days]]&lt;=2,"Fast",IF(orders[[#This Row],[delivery days]]&lt;=5,"Normal","Delayed")))</f>
        <v>Normal</v>
      </c>
    </row>
    <row r="40" spans="1:16" x14ac:dyDescent="0.25">
      <c r="A40" t="s">
        <v>122</v>
      </c>
      <c r="B40" s="5">
        <v>45676</v>
      </c>
      <c r="C40" t="s">
        <v>57</v>
      </c>
      <c r="D40" t="s">
        <v>110</v>
      </c>
      <c r="E40" t="s">
        <v>39</v>
      </c>
      <c r="F40">
        <v>3</v>
      </c>
      <c r="G40" s="1">
        <v>648.9</v>
      </c>
      <c r="H40" s="1">
        <v>375</v>
      </c>
      <c r="I40" s="5">
        <v>45679</v>
      </c>
      <c r="J40" t="s">
        <v>101</v>
      </c>
      <c r="K40" t="s">
        <v>35</v>
      </c>
      <c r="L40" t="s">
        <v>25</v>
      </c>
      <c r="M40" s="1">
        <f>(orders[[#This Row],[Revenue]]-orders[[#This Row],[Cost]])</f>
        <v>273.89999999999998</v>
      </c>
      <c r="N40" s="8">
        <f>IFERROR(orders[[#This Row],[profit]]/orders[[#This Row],[Revenue]],0)</f>
        <v>0.42209893666204346</v>
      </c>
      <c r="O40">
        <f>IF(orders[[#This Row],[Delivery Date]]="","",(orders[[#This Row],[Delivery Date]]-orders[[#This Row],[Date]]))</f>
        <v>3</v>
      </c>
      <c r="P40" t="str">
        <f>IF(orders[[#This Row],[delivery days]]="","Not Delivered",IF(orders[[#This Row],[delivery days]]&lt;=2,"Fast",IF(orders[[#This Row],[delivery days]]&lt;=5,"Normal","Delayed")))</f>
        <v>Normal</v>
      </c>
    </row>
    <row r="41" spans="1:16" x14ac:dyDescent="0.25">
      <c r="A41" t="s">
        <v>123</v>
      </c>
      <c r="B41" s="5">
        <v>45676</v>
      </c>
      <c r="C41" t="s">
        <v>124</v>
      </c>
      <c r="D41" t="s">
        <v>125</v>
      </c>
      <c r="E41" t="s">
        <v>62</v>
      </c>
      <c r="F41">
        <v>1</v>
      </c>
      <c r="G41" s="1">
        <v>145</v>
      </c>
      <c r="H41" s="1">
        <v>82</v>
      </c>
      <c r="I41" s="5">
        <v>45680</v>
      </c>
      <c r="J41" t="s">
        <v>101</v>
      </c>
      <c r="K41" t="s">
        <v>35</v>
      </c>
      <c r="L41" t="s">
        <v>25</v>
      </c>
      <c r="M41" s="1">
        <f>(orders[[#This Row],[Revenue]]-orders[[#This Row],[Cost]])</f>
        <v>63</v>
      </c>
      <c r="N41" s="8">
        <f>IFERROR(orders[[#This Row],[profit]]/orders[[#This Row],[Revenue]],0)</f>
        <v>0.43448275862068964</v>
      </c>
      <c r="O41">
        <f>IF(orders[[#This Row],[Delivery Date]]="","",(orders[[#This Row],[Delivery Date]]-orders[[#This Row],[Date]]))</f>
        <v>4</v>
      </c>
      <c r="P41" t="str">
        <f>IF(orders[[#This Row],[delivery days]]="","Not Delivered",IF(orders[[#This Row],[delivery days]]&lt;=2,"Fast",IF(orders[[#This Row],[delivery days]]&lt;=5,"Normal","Delayed")))</f>
        <v>Normal</v>
      </c>
    </row>
    <row r="42" spans="1:16" x14ac:dyDescent="0.25">
      <c r="A42" t="s">
        <v>126</v>
      </c>
      <c r="B42" s="5">
        <v>45676</v>
      </c>
      <c r="C42" t="s">
        <v>88</v>
      </c>
      <c r="D42" t="s">
        <v>127</v>
      </c>
      <c r="E42" t="s">
        <v>29</v>
      </c>
      <c r="F42">
        <v>2</v>
      </c>
      <c r="G42" s="1">
        <v>36</v>
      </c>
      <c r="H42" s="1">
        <v>12</v>
      </c>
      <c r="I42" s="5">
        <v>45678</v>
      </c>
      <c r="J42" t="s">
        <v>46</v>
      </c>
      <c r="K42" t="s">
        <v>47</v>
      </c>
      <c r="L42" t="s">
        <v>25</v>
      </c>
      <c r="M42" s="1">
        <f>(orders[[#This Row],[Revenue]]-orders[[#This Row],[Cost]])</f>
        <v>24</v>
      </c>
      <c r="N42" s="8">
        <f>IFERROR(orders[[#This Row],[profit]]/orders[[#This Row],[Revenue]],0)</f>
        <v>0.66666666666666663</v>
      </c>
      <c r="O42">
        <f>IF(orders[[#This Row],[Delivery Date]]="","",(orders[[#This Row],[Delivery Date]]-orders[[#This Row],[Date]]))</f>
        <v>2</v>
      </c>
      <c r="P42" t="str">
        <f>IF(orders[[#This Row],[delivery days]]="","Not Delivered",IF(orders[[#This Row],[delivery days]]&lt;=2,"Fast",IF(orders[[#This Row],[delivery days]]&lt;=5,"Normal","Delayed")))</f>
        <v>Fast</v>
      </c>
    </row>
    <row r="43" spans="1:16" x14ac:dyDescent="0.25">
      <c r="A43" t="s">
        <v>128</v>
      </c>
      <c r="B43" s="5">
        <v>45677</v>
      </c>
      <c r="C43" t="s">
        <v>54</v>
      </c>
      <c r="D43" t="s">
        <v>129</v>
      </c>
      <c r="E43" t="s">
        <v>39</v>
      </c>
      <c r="F43">
        <v>1</v>
      </c>
      <c r="G43" s="1">
        <v>120</v>
      </c>
      <c r="H43" s="1">
        <v>68</v>
      </c>
      <c r="I43" s="5">
        <v>45680</v>
      </c>
      <c r="J43" t="s">
        <v>23</v>
      </c>
      <c r="K43" t="s">
        <v>24</v>
      </c>
      <c r="L43" t="s">
        <v>25</v>
      </c>
      <c r="M43" s="1">
        <f>(orders[[#This Row],[Revenue]]-orders[[#This Row],[Cost]])</f>
        <v>52</v>
      </c>
      <c r="N43" s="8">
        <f>IFERROR(orders[[#This Row],[profit]]/orders[[#This Row],[Revenue]],0)</f>
        <v>0.43333333333333335</v>
      </c>
      <c r="O43">
        <f>IF(orders[[#This Row],[Delivery Date]]="","",(orders[[#This Row],[Delivery Date]]-orders[[#This Row],[Date]]))</f>
        <v>3</v>
      </c>
      <c r="P43" t="str">
        <f>IF(orders[[#This Row],[delivery days]]="","Not Delivered",IF(orders[[#This Row],[delivery days]]&lt;=2,"Fast",IF(orders[[#This Row],[delivery days]]&lt;=5,"Normal","Delayed")))</f>
        <v>Normal</v>
      </c>
    </row>
    <row r="44" spans="1:16" x14ac:dyDescent="0.25">
      <c r="A44" t="s">
        <v>130</v>
      </c>
      <c r="B44" s="5">
        <v>45678</v>
      </c>
      <c r="C44" t="s">
        <v>124</v>
      </c>
      <c r="D44" t="s">
        <v>97</v>
      </c>
      <c r="E44" t="s">
        <v>39</v>
      </c>
      <c r="F44">
        <v>5</v>
      </c>
      <c r="G44" s="1">
        <v>1950</v>
      </c>
      <c r="H44" s="1">
        <v>1300</v>
      </c>
      <c r="I44" s="5">
        <v>45683</v>
      </c>
      <c r="J44" t="s">
        <v>16</v>
      </c>
      <c r="K44" t="s">
        <v>17</v>
      </c>
      <c r="L44" t="s">
        <v>25</v>
      </c>
      <c r="M44" s="1">
        <f>(orders[[#This Row],[Revenue]]-orders[[#This Row],[Cost]])</f>
        <v>650</v>
      </c>
      <c r="N44" s="8">
        <f>IFERROR(orders[[#This Row],[profit]]/orders[[#This Row],[Revenue]],0)</f>
        <v>0.33333333333333331</v>
      </c>
      <c r="O44">
        <f>IF(orders[[#This Row],[Delivery Date]]="","",(orders[[#This Row],[Delivery Date]]-orders[[#This Row],[Date]]))</f>
        <v>5</v>
      </c>
      <c r="P44" t="str">
        <f>IF(orders[[#This Row],[delivery days]]="","Not Delivered",IF(orders[[#This Row],[delivery days]]&lt;=2,"Fast",IF(orders[[#This Row],[delivery days]]&lt;=5,"Normal","Delayed")))</f>
        <v>Normal</v>
      </c>
    </row>
    <row r="45" spans="1:16" x14ac:dyDescent="0.25">
      <c r="A45" t="s">
        <v>131</v>
      </c>
      <c r="B45" s="5">
        <v>45679</v>
      </c>
      <c r="C45" t="s">
        <v>132</v>
      </c>
      <c r="D45" t="s">
        <v>76</v>
      </c>
      <c r="E45" t="s">
        <v>77</v>
      </c>
      <c r="F45">
        <v>1</v>
      </c>
      <c r="G45" s="1">
        <v>280.8</v>
      </c>
      <c r="H45" s="1">
        <v>168.3</v>
      </c>
      <c r="I45" s="5">
        <v>45682</v>
      </c>
      <c r="J45" t="s">
        <v>101</v>
      </c>
      <c r="K45" t="s">
        <v>35</v>
      </c>
      <c r="L45" t="s">
        <v>25</v>
      </c>
      <c r="M45" s="1">
        <f>(orders[[#This Row],[Revenue]]-orders[[#This Row],[Cost]])</f>
        <v>112.5</v>
      </c>
      <c r="N45" s="8">
        <f>IFERROR(orders[[#This Row],[profit]]/orders[[#This Row],[Revenue]],0)</f>
        <v>0.40064102564102561</v>
      </c>
      <c r="O45">
        <f>IF(orders[[#This Row],[Delivery Date]]="","",(orders[[#This Row],[Delivery Date]]-orders[[#This Row],[Date]]))</f>
        <v>3</v>
      </c>
      <c r="P45" t="str">
        <f>IF(orders[[#This Row],[delivery days]]="","Not Delivered",IF(orders[[#This Row],[delivery days]]&lt;=2,"Fast",IF(orders[[#This Row],[delivery days]]&lt;=5,"Normal","Delayed")))</f>
        <v>Normal</v>
      </c>
    </row>
    <row r="46" spans="1:16" x14ac:dyDescent="0.25">
      <c r="A46" t="s">
        <v>133</v>
      </c>
      <c r="B46" s="5">
        <v>45680</v>
      </c>
      <c r="C46" t="s">
        <v>105</v>
      </c>
      <c r="D46" t="s">
        <v>127</v>
      </c>
      <c r="E46" t="s">
        <v>29</v>
      </c>
      <c r="F46">
        <v>2</v>
      </c>
      <c r="G46" s="1">
        <v>34.92</v>
      </c>
      <c r="H46" s="1">
        <v>12</v>
      </c>
      <c r="I46" s="5">
        <v>45685</v>
      </c>
      <c r="J46" t="s">
        <v>52</v>
      </c>
      <c r="K46" t="s">
        <v>47</v>
      </c>
      <c r="L46" t="s">
        <v>25</v>
      </c>
      <c r="M46" s="1">
        <f>(orders[[#This Row],[Revenue]]-orders[[#This Row],[Cost]])</f>
        <v>22.92</v>
      </c>
      <c r="N46" s="8">
        <f>IFERROR(orders[[#This Row],[profit]]/orders[[#This Row],[Revenue]],0)</f>
        <v>0.6563573883161512</v>
      </c>
      <c r="O46">
        <f>IF(orders[[#This Row],[Delivery Date]]="","",(orders[[#This Row],[Delivery Date]]-orders[[#This Row],[Date]]))</f>
        <v>5</v>
      </c>
      <c r="P46" t="str">
        <f>IF(orders[[#This Row],[delivery days]]="","Not Delivered",IF(orders[[#This Row],[delivery days]]&lt;=2,"Fast",IF(orders[[#This Row],[delivery days]]&lt;=5,"Normal","Delayed")))</f>
        <v>Normal</v>
      </c>
    </row>
    <row r="47" spans="1:16" x14ac:dyDescent="0.25">
      <c r="A47" t="s">
        <v>134</v>
      </c>
      <c r="B47" s="5">
        <v>45680</v>
      </c>
      <c r="C47" t="s">
        <v>112</v>
      </c>
      <c r="D47" t="s">
        <v>135</v>
      </c>
      <c r="E47" t="s">
        <v>62</v>
      </c>
      <c r="F47">
        <v>4</v>
      </c>
      <c r="G47" s="1">
        <v>446.2</v>
      </c>
      <c r="H47" s="1">
        <v>252</v>
      </c>
      <c r="I47" s="5">
        <v>45683</v>
      </c>
      <c r="J47" t="s">
        <v>46</v>
      </c>
      <c r="K47" t="s">
        <v>24</v>
      </c>
      <c r="L47" t="s">
        <v>18</v>
      </c>
      <c r="M47" s="1">
        <f>(orders[[#This Row],[Revenue]]-orders[[#This Row],[Cost]])</f>
        <v>194.2</v>
      </c>
      <c r="N47" s="8">
        <f>IFERROR(orders[[#This Row],[profit]]/orders[[#This Row],[Revenue]],0)</f>
        <v>0.43523083818915281</v>
      </c>
      <c r="O47">
        <f>IF(orders[[#This Row],[Delivery Date]]="","",(orders[[#This Row],[Delivery Date]]-orders[[#This Row],[Date]]))</f>
        <v>3</v>
      </c>
      <c r="P47" t="str">
        <f>IF(orders[[#This Row],[delivery days]]="","Not Delivered",IF(orders[[#This Row],[delivery days]]&lt;=2,"Fast",IF(orders[[#This Row],[delivery days]]&lt;=5,"Normal","Delayed")))</f>
        <v>Normal</v>
      </c>
    </row>
    <row r="48" spans="1:16" x14ac:dyDescent="0.25">
      <c r="A48" t="s">
        <v>136</v>
      </c>
      <c r="B48" s="5">
        <v>45680</v>
      </c>
      <c r="C48" t="s">
        <v>137</v>
      </c>
      <c r="D48" t="s">
        <v>45</v>
      </c>
      <c r="E48" t="s">
        <v>34</v>
      </c>
      <c r="F48">
        <v>1</v>
      </c>
      <c r="G48" s="1">
        <v>72</v>
      </c>
      <c r="H48" s="1">
        <v>30.38</v>
      </c>
      <c r="I48" s="5">
        <v>45682</v>
      </c>
      <c r="J48" t="s">
        <v>101</v>
      </c>
      <c r="K48" t="s">
        <v>35</v>
      </c>
      <c r="L48" t="s">
        <v>25</v>
      </c>
      <c r="M48" s="1">
        <f>(orders[[#This Row],[Revenue]]-orders[[#This Row],[Cost]])</f>
        <v>41.620000000000005</v>
      </c>
      <c r="N48" s="8">
        <f>IFERROR(orders[[#This Row],[profit]]/orders[[#This Row],[Revenue]],0)</f>
        <v>0.57805555555555566</v>
      </c>
      <c r="O48">
        <f>IF(orders[[#This Row],[Delivery Date]]="","",(orders[[#This Row],[Delivery Date]]-orders[[#This Row],[Date]]))</f>
        <v>2</v>
      </c>
      <c r="P48" t="str">
        <f>IF(orders[[#This Row],[delivery days]]="","Not Delivered",IF(orders[[#This Row],[delivery days]]&lt;=2,"Fast",IF(orders[[#This Row],[delivery days]]&lt;=5,"Normal","Delayed")))</f>
        <v>Fast</v>
      </c>
    </row>
    <row r="49" spans="1:16" x14ac:dyDescent="0.25">
      <c r="A49" t="s">
        <v>138</v>
      </c>
      <c r="B49" s="5">
        <v>45680</v>
      </c>
      <c r="C49" t="s">
        <v>139</v>
      </c>
      <c r="D49" t="s">
        <v>119</v>
      </c>
      <c r="E49" t="s">
        <v>39</v>
      </c>
      <c r="F49">
        <v>2</v>
      </c>
      <c r="G49" s="1">
        <v>110</v>
      </c>
      <c r="H49" s="1">
        <v>56</v>
      </c>
      <c r="I49" s="5">
        <v>45683</v>
      </c>
      <c r="J49" t="s">
        <v>30</v>
      </c>
      <c r="K49" t="s">
        <v>17</v>
      </c>
      <c r="L49" t="s">
        <v>25</v>
      </c>
      <c r="M49" s="1">
        <f>(orders[[#This Row],[Revenue]]-orders[[#This Row],[Cost]])</f>
        <v>54</v>
      </c>
      <c r="N49" s="8">
        <f>IFERROR(orders[[#This Row],[profit]]/orders[[#This Row],[Revenue]],0)</f>
        <v>0.49090909090909091</v>
      </c>
      <c r="O49">
        <f>IF(orders[[#This Row],[Delivery Date]]="","",(orders[[#This Row],[Delivery Date]]-orders[[#This Row],[Date]]))</f>
        <v>3</v>
      </c>
      <c r="P49" t="str">
        <f>IF(orders[[#This Row],[delivery days]]="","Not Delivered",IF(orders[[#This Row],[delivery days]]&lt;=2,"Fast",IF(orders[[#This Row],[delivery days]]&lt;=5,"Normal","Delayed")))</f>
        <v>Normal</v>
      </c>
    </row>
    <row r="50" spans="1:16" x14ac:dyDescent="0.25">
      <c r="A50" t="s">
        <v>140</v>
      </c>
      <c r="B50" s="5">
        <v>45680</v>
      </c>
      <c r="C50" t="s">
        <v>139</v>
      </c>
      <c r="D50" t="s">
        <v>113</v>
      </c>
      <c r="E50" t="s">
        <v>15</v>
      </c>
      <c r="F50">
        <v>2</v>
      </c>
      <c r="G50" s="1">
        <v>190</v>
      </c>
      <c r="H50" s="1">
        <v>96</v>
      </c>
      <c r="I50" s="5">
        <v>45683</v>
      </c>
      <c r="J50" t="s">
        <v>16</v>
      </c>
      <c r="K50" t="s">
        <v>17</v>
      </c>
      <c r="L50" t="s">
        <v>25</v>
      </c>
      <c r="M50" s="1">
        <f>(orders[[#This Row],[Revenue]]-orders[[#This Row],[Cost]])</f>
        <v>94</v>
      </c>
      <c r="N50" s="8">
        <f>IFERROR(orders[[#This Row],[profit]]/orders[[#This Row],[Revenue]],0)</f>
        <v>0.49473684210526314</v>
      </c>
      <c r="O50">
        <f>IF(orders[[#This Row],[Delivery Date]]="","",(orders[[#This Row],[Delivery Date]]-orders[[#This Row],[Date]]))</f>
        <v>3</v>
      </c>
      <c r="P50" t="str">
        <f>IF(orders[[#This Row],[delivery days]]="","Not Delivered",IF(orders[[#This Row],[delivery days]]&lt;=2,"Fast",IF(orders[[#This Row],[delivery days]]&lt;=5,"Normal","Delayed")))</f>
        <v>Normal</v>
      </c>
    </row>
    <row r="51" spans="1:16" x14ac:dyDescent="0.25">
      <c r="A51" t="s">
        <v>141</v>
      </c>
      <c r="B51" s="5">
        <v>45680</v>
      </c>
      <c r="C51" t="s">
        <v>142</v>
      </c>
      <c r="D51" t="s">
        <v>51</v>
      </c>
      <c r="E51" t="s">
        <v>34</v>
      </c>
      <c r="F51">
        <v>4</v>
      </c>
      <c r="G51" s="1">
        <v>367.2</v>
      </c>
      <c r="H51" s="1">
        <v>168</v>
      </c>
      <c r="I51" s="5">
        <v>45683</v>
      </c>
      <c r="J51" t="s">
        <v>16</v>
      </c>
      <c r="K51" t="s">
        <v>35</v>
      </c>
      <c r="L51" t="s">
        <v>25</v>
      </c>
      <c r="M51" s="1">
        <f>(orders[[#This Row],[Revenue]]-orders[[#This Row],[Cost]])</f>
        <v>199.2</v>
      </c>
      <c r="N51" s="8">
        <f>IFERROR(orders[[#This Row],[profit]]/orders[[#This Row],[Revenue]],0)</f>
        <v>0.54248366013071891</v>
      </c>
      <c r="O51">
        <f>IF(orders[[#This Row],[Delivery Date]]="","",(orders[[#This Row],[Delivery Date]]-orders[[#This Row],[Date]]))</f>
        <v>3</v>
      </c>
      <c r="P51" t="str">
        <f>IF(orders[[#This Row],[delivery days]]="","Not Delivered",IF(orders[[#This Row],[delivery days]]&lt;=2,"Fast",IF(orders[[#This Row],[delivery days]]&lt;=5,"Normal","Delayed")))</f>
        <v>Normal</v>
      </c>
    </row>
    <row r="52" spans="1:16" x14ac:dyDescent="0.25">
      <c r="A52" t="s">
        <v>143</v>
      </c>
      <c r="B52" s="5">
        <v>45681</v>
      </c>
      <c r="C52" t="s">
        <v>54</v>
      </c>
      <c r="D52" t="s">
        <v>58</v>
      </c>
      <c r="E52" t="s">
        <v>39</v>
      </c>
      <c r="F52">
        <v>3</v>
      </c>
      <c r="G52" s="1">
        <v>3750</v>
      </c>
      <c r="H52" s="1">
        <v>2700</v>
      </c>
      <c r="I52" s="5">
        <v>45683</v>
      </c>
      <c r="J52" t="s">
        <v>30</v>
      </c>
      <c r="K52" t="s">
        <v>17</v>
      </c>
      <c r="L52" t="s">
        <v>25</v>
      </c>
      <c r="M52" s="1">
        <f>(orders[[#This Row],[Revenue]]-orders[[#This Row],[Cost]])</f>
        <v>1050</v>
      </c>
      <c r="N52" s="8">
        <f>IFERROR(orders[[#This Row],[profit]]/orders[[#This Row],[Revenue]],0)</f>
        <v>0.28000000000000003</v>
      </c>
      <c r="O52">
        <f>IF(orders[[#This Row],[Delivery Date]]="","",(orders[[#This Row],[Delivery Date]]-orders[[#This Row],[Date]]))</f>
        <v>2</v>
      </c>
      <c r="P52" t="str">
        <f>IF(orders[[#This Row],[delivery days]]="","Not Delivered",IF(orders[[#This Row],[delivery days]]&lt;=2,"Fast",IF(orders[[#This Row],[delivery days]]&lt;=5,"Normal","Delayed")))</f>
        <v>Fast</v>
      </c>
    </row>
    <row r="53" spans="1:16" x14ac:dyDescent="0.25">
      <c r="A53" t="s">
        <v>144</v>
      </c>
      <c r="B53" s="5">
        <v>45682</v>
      </c>
      <c r="C53" t="s">
        <v>41</v>
      </c>
      <c r="D53" t="s">
        <v>55</v>
      </c>
      <c r="E53" t="s">
        <v>39</v>
      </c>
      <c r="F53">
        <v>2</v>
      </c>
      <c r="G53" s="1">
        <v>840</v>
      </c>
      <c r="H53" s="1">
        <v>539</v>
      </c>
      <c r="I53" s="5">
        <v>45684</v>
      </c>
      <c r="J53" t="s">
        <v>23</v>
      </c>
      <c r="K53" t="s">
        <v>17</v>
      </c>
      <c r="L53" t="s">
        <v>25</v>
      </c>
      <c r="M53" s="1">
        <f>(orders[[#This Row],[Revenue]]-orders[[#This Row],[Cost]])</f>
        <v>301</v>
      </c>
      <c r="N53" s="8">
        <f>IFERROR(orders[[#This Row],[profit]]/orders[[#This Row],[Revenue]],0)</f>
        <v>0.35833333333333334</v>
      </c>
      <c r="O53">
        <f>IF(orders[[#This Row],[Delivery Date]]="","",(orders[[#This Row],[Delivery Date]]-orders[[#This Row],[Date]]))</f>
        <v>2</v>
      </c>
      <c r="P53" t="str">
        <f>IF(orders[[#This Row],[delivery days]]="","Not Delivered",IF(orders[[#This Row],[delivery days]]&lt;=2,"Fast",IF(orders[[#This Row],[delivery days]]&lt;=5,"Normal","Delayed")))</f>
        <v>Fast</v>
      </c>
    </row>
    <row r="54" spans="1:16" x14ac:dyDescent="0.25">
      <c r="A54" t="s">
        <v>145</v>
      </c>
      <c r="B54" s="5">
        <v>45682</v>
      </c>
      <c r="C54" t="s">
        <v>139</v>
      </c>
      <c r="D54" t="s">
        <v>146</v>
      </c>
      <c r="E54" t="s">
        <v>22</v>
      </c>
      <c r="F54">
        <v>1</v>
      </c>
      <c r="G54" s="1">
        <v>88</v>
      </c>
      <c r="H54" s="1">
        <v>45</v>
      </c>
      <c r="I54" s="5">
        <v>45687</v>
      </c>
      <c r="J54" t="s">
        <v>46</v>
      </c>
      <c r="K54" t="s">
        <v>24</v>
      </c>
      <c r="L54" t="s">
        <v>25</v>
      </c>
      <c r="M54" s="1">
        <f>(orders[[#This Row],[Revenue]]-orders[[#This Row],[Cost]])</f>
        <v>43</v>
      </c>
      <c r="N54" s="8">
        <f>IFERROR(orders[[#This Row],[profit]]/orders[[#This Row],[Revenue]],0)</f>
        <v>0.48863636363636365</v>
      </c>
      <c r="O54">
        <f>IF(orders[[#This Row],[Delivery Date]]="","",(orders[[#This Row],[Delivery Date]]-orders[[#This Row],[Date]]))</f>
        <v>5</v>
      </c>
      <c r="P54" t="str">
        <f>IF(orders[[#This Row],[delivery days]]="","Not Delivered",IF(orders[[#This Row],[delivery days]]&lt;=2,"Fast",IF(orders[[#This Row],[delivery days]]&lt;=5,"Normal","Delayed")))</f>
        <v>Normal</v>
      </c>
    </row>
    <row r="55" spans="1:16" x14ac:dyDescent="0.25">
      <c r="A55" t="s">
        <v>147</v>
      </c>
      <c r="B55" s="5">
        <v>45682</v>
      </c>
      <c r="C55" t="s">
        <v>64</v>
      </c>
      <c r="D55" t="s">
        <v>113</v>
      </c>
      <c r="E55" t="s">
        <v>15</v>
      </c>
      <c r="F55">
        <v>5</v>
      </c>
      <c r="G55" s="1">
        <v>460.75</v>
      </c>
      <c r="H55" s="1">
        <v>240</v>
      </c>
      <c r="I55" s="5"/>
      <c r="J55" t="s">
        <v>52</v>
      </c>
      <c r="K55" t="s">
        <v>47</v>
      </c>
      <c r="L55" t="s">
        <v>42</v>
      </c>
      <c r="M55" s="1">
        <f>(orders[[#This Row],[Revenue]]-orders[[#This Row],[Cost]])</f>
        <v>220.75</v>
      </c>
      <c r="N55" s="8">
        <f>IFERROR(orders[[#This Row],[profit]]/orders[[#This Row],[Revenue]],0)</f>
        <v>0.47911014650027128</v>
      </c>
      <c r="O55" t="str">
        <f>IF(orders[[#This Row],[Delivery Date]]="","",(orders[[#This Row],[Delivery Date]]-orders[[#This Row],[Date]]))</f>
        <v/>
      </c>
      <c r="P55" t="str">
        <f>IF(orders[[#This Row],[delivery days]]="","Not Delivered",IF(orders[[#This Row],[delivery days]]&lt;=2,"Fast",IF(orders[[#This Row],[delivery days]]&lt;=5,"Normal","Delayed")))</f>
        <v>Not Delivered</v>
      </c>
    </row>
    <row r="56" spans="1:16" x14ac:dyDescent="0.25">
      <c r="A56" t="s">
        <v>148</v>
      </c>
      <c r="B56" s="5">
        <v>45682</v>
      </c>
      <c r="C56" t="s">
        <v>149</v>
      </c>
      <c r="D56" t="s">
        <v>150</v>
      </c>
      <c r="E56" t="s">
        <v>77</v>
      </c>
      <c r="F56">
        <v>2</v>
      </c>
      <c r="G56" s="1">
        <v>175.1</v>
      </c>
      <c r="H56" s="1">
        <v>88</v>
      </c>
      <c r="I56" s="5"/>
      <c r="J56" t="s">
        <v>16</v>
      </c>
      <c r="K56" t="s">
        <v>17</v>
      </c>
      <c r="L56" t="s">
        <v>103</v>
      </c>
      <c r="M56" s="1">
        <f>(orders[[#This Row],[Revenue]]-orders[[#This Row],[Cost]])</f>
        <v>87.1</v>
      </c>
      <c r="N56" s="8">
        <f>IFERROR(orders[[#This Row],[profit]]/orders[[#This Row],[Revenue]],0)</f>
        <v>0.4974300399771559</v>
      </c>
      <c r="O56" t="str">
        <f>IF(orders[[#This Row],[Delivery Date]]="","",(orders[[#This Row],[Delivery Date]]-orders[[#This Row],[Date]]))</f>
        <v/>
      </c>
      <c r="P56" t="str">
        <f>IF(orders[[#This Row],[delivery days]]="","Not Delivered",IF(orders[[#This Row],[delivery days]]&lt;=2,"Fast",IF(orders[[#This Row],[delivery days]]&lt;=5,"Normal","Delayed")))</f>
        <v>Not Delivered</v>
      </c>
    </row>
    <row r="57" spans="1:16" x14ac:dyDescent="0.25">
      <c r="A57" t="s">
        <v>151</v>
      </c>
      <c r="B57" s="5">
        <v>45682</v>
      </c>
      <c r="C57" t="s">
        <v>60</v>
      </c>
      <c r="D57" t="s">
        <v>108</v>
      </c>
      <c r="E57" t="s">
        <v>22</v>
      </c>
      <c r="F57">
        <v>3</v>
      </c>
      <c r="G57" s="1">
        <v>285</v>
      </c>
      <c r="H57" s="1">
        <v>128.52000000000001</v>
      </c>
      <c r="I57" s="5">
        <v>45685</v>
      </c>
      <c r="J57" t="s">
        <v>46</v>
      </c>
      <c r="K57" t="s">
        <v>24</v>
      </c>
      <c r="L57" t="s">
        <v>25</v>
      </c>
      <c r="M57" s="1">
        <f>(orders[[#This Row],[Revenue]]-orders[[#This Row],[Cost]])</f>
        <v>156.47999999999999</v>
      </c>
      <c r="N57" s="8">
        <f>IFERROR(orders[[#This Row],[profit]]/orders[[#This Row],[Revenue]],0)</f>
        <v>0.54905263157894735</v>
      </c>
      <c r="O57">
        <f>IF(orders[[#This Row],[Delivery Date]]="","",(orders[[#This Row],[Delivery Date]]-orders[[#This Row],[Date]]))</f>
        <v>3</v>
      </c>
      <c r="P57" t="str">
        <f>IF(orders[[#This Row],[delivery days]]="","Not Delivered",IF(orders[[#This Row],[delivery days]]&lt;=2,"Fast",IF(orders[[#This Row],[delivery days]]&lt;=5,"Normal","Delayed")))</f>
        <v>Normal</v>
      </c>
    </row>
    <row r="58" spans="1:16" x14ac:dyDescent="0.25">
      <c r="A58" t="s">
        <v>152</v>
      </c>
      <c r="B58" s="5">
        <v>45682</v>
      </c>
      <c r="C58" t="s">
        <v>60</v>
      </c>
      <c r="D58" t="s">
        <v>153</v>
      </c>
      <c r="E58" t="s">
        <v>34</v>
      </c>
      <c r="F58">
        <v>2</v>
      </c>
      <c r="G58" s="1">
        <v>136</v>
      </c>
      <c r="H58" s="1">
        <v>64</v>
      </c>
      <c r="I58" s="5">
        <v>45687</v>
      </c>
      <c r="J58" t="s">
        <v>46</v>
      </c>
      <c r="K58" t="s">
        <v>24</v>
      </c>
      <c r="L58" t="s">
        <v>25</v>
      </c>
      <c r="M58" s="1">
        <f>(orders[[#This Row],[Revenue]]-orders[[#This Row],[Cost]])</f>
        <v>72</v>
      </c>
      <c r="N58" s="8">
        <f>IFERROR(orders[[#This Row],[profit]]/orders[[#This Row],[Revenue]],0)</f>
        <v>0.52941176470588236</v>
      </c>
      <c r="O58">
        <f>IF(orders[[#This Row],[Delivery Date]]="","",(orders[[#This Row],[Delivery Date]]-orders[[#This Row],[Date]]))</f>
        <v>5</v>
      </c>
      <c r="P58" t="str">
        <f>IF(orders[[#This Row],[delivery days]]="","Not Delivered",IF(orders[[#This Row],[delivery days]]&lt;=2,"Fast",IF(orders[[#This Row],[delivery days]]&lt;=5,"Normal","Delayed")))</f>
        <v>Normal</v>
      </c>
    </row>
    <row r="59" spans="1:16" x14ac:dyDescent="0.25">
      <c r="A59" t="s">
        <v>154</v>
      </c>
      <c r="B59" s="5">
        <v>45683</v>
      </c>
      <c r="C59" t="s">
        <v>155</v>
      </c>
      <c r="D59" t="s">
        <v>108</v>
      </c>
      <c r="E59" t="s">
        <v>22</v>
      </c>
      <c r="F59">
        <v>3</v>
      </c>
      <c r="G59" s="1">
        <v>285</v>
      </c>
      <c r="H59" s="1">
        <v>123.48</v>
      </c>
      <c r="I59" s="5">
        <v>45685</v>
      </c>
      <c r="J59" t="s">
        <v>46</v>
      </c>
      <c r="K59" t="s">
        <v>47</v>
      </c>
      <c r="L59" t="s">
        <v>25</v>
      </c>
      <c r="M59" s="1">
        <f>(orders[[#This Row],[Revenue]]-orders[[#This Row],[Cost]])</f>
        <v>161.51999999999998</v>
      </c>
      <c r="N59" s="8">
        <f>IFERROR(orders[[#This Row],[profit]]/orders[[#This Row],[Revenue]],0)</f>
        <v>0.56673684210526309</v>
      </c>
      <c r="O59">
        <f>IF(orders[[#This Row],[Delivery Date]]="","",(orders[[#This Row],[Delivery Date]]-orders[[#This Row],[Date]]))</f>
        <v>2</v>
      </c>
      <c r="P59" t="str">
        <f>IF(orders[[#This Row],[delivery days]]="","Not Delivered",IF(orders[[#This Row],[delivery days]]&lt;=2,"Fast",IF(orders[[#This Row],[delivery days]]&lt;=5,"Normal","Delayed")))</f>
        <v>Fast</v>
      </c>
    </row>
    <row r="60" spans="1:16" x14ac:dyDescent="0.25">
      <c r="A60" t="s">
        <v>156</v>
      </c>
      <c r="B60" s="5">
        <v>45683</v>
      </c>
      <c r="C60" t="s">
        <v>121</v>
      </c>
      <c r="D60" t="s">
        <v>28</v>
      </c>
      <c r="E60" t="s">
        <v>29</v>
      </c>
      <c r="F60">
        <v>1</v>
      </c>
      <c r="G60" s="1">
        <v>24.72</v>
      </c>
      <c r="H60" s="1">
        <v>8.82</v>
      </c>
      <c r="I60" s="5"/>
      <c r="J60" t="s">
        <v>52</v>
      </c>
      <c r="K60" t="s">
        <v>47</v>
      </c>
      <c r="L60" t="s">
        <v>42</v>
      </c>
      <c r="M60" s="1">
        <f>(orders[[#This Row],[Revenue]]-orders[[#This Row],[Cost]])</f>
        <v>15.899999999999999</v>
      </c>
      <c r="N60" s="8">
        <f>IFERROR(orders[[#This Row],[profit]]/orders[[#This Row],[Revenue]],0)</f>
        <v>0.64320388349514557</v>
      </c>
      <c r="O60" t="str">
        <f>IF(orders[[#This Row],[Delivery Date]]="","",(orders[[#This Row],[Delivery Date]]-orders[[#This Row],[Date]]))</f>
        <v/>
      </c>
      <c r="P60" t="str">
        <f>IF(orders[[#This Row],[delivery days]]="","Not Delivered",IF(orders[[#This Row],[delivery days]]&lt;=2,"Fast",IF(orders[[#This Row],[delivery days]]&lt;=5,"Normal","Delayed")))</f>
        <v>Not Delivered</v>
      </c>
    </row>
    <row r="61" spans="1:16" x14ac:dyDescent="0.25">
      <c r="A61" t="s">
        <v>157</v>
      </c>
      <c r="B61" s="5">
        <v>45683</v>
      </c>
      <c r="C61" t="s">
        <v>44</v>
      </c>
      <c r="D61" t="s">
        <v>113</v>
      </c>
      <c r="E61" t="s">
        <v>15</v>
      </c>
      <c r="F61">
        <v>2</v>
      </c>
      <c r="G61" s="1">
        <v>184.3</v>
      </c>
      <c r="H61" s="1">
        <v>96</v>
      </c>
      <c r="I61" s="5">
        <v>45685</v>
      </c>
      <c r="J61" t="s">
        <v>23</v>
      </c>
      <c r="K61" t="s">
        <v>17</v>
      </c>
      <c r="L61" t="s">
        <v>18</v>
      </c>
      <c r="M61" s="1">
        <f>(orders[[#This Row],[Revenue]]-orders[[#This Row],[Cost]])</f>
        <v>88.300000000000011</v>
      </c>
      <c r="N61" s="8">
        <f>IFERROR(orders[[#This Row],[profit]]/orders[[#This Row],[Revenue]],0)</f>
        <v>0.47911014650027134</v>
      </c>
      <c r="O61">
        <f>IF(orders[[#This Row],[Delivery Date]]="","",(orders[[#This Row],[Delivery Date]]-orders[[#This Row],[Date]]))</f>
        <v>2</v>
      </c>
      <c r="P61" t="str">
        <f>IF(orders[[#This Row],[delivery days]]="","Not Delivered",IF(orders[[#This Row],[delivery days]]&lt;=2,"Fast",IF(orders[[#This Row],[delivery days]]&lt;=5,"Normal","Delayed")))</f>
        <v>Fast</v>
      </c>
    </row>
    <row r="62" spans="1:16" x14ac:dyDescent="0.25">
      <c r="A62" t="s">
        <v>158</v>
      </c>
      <c r="B62" s="5">
        <v>45684</v>
      </c>
      <c r="C62" t="s">
        <v>107</v>
      </c>
      <c r="D62" t="s">
        <v>159</v>
      </c>
      <c r="E62" t="s">
        <v>39</v>
      </c>
      <c r="F62">
        <v>2</v>
      </c>
      <c r="G62" s="1">
        <v>226.6</v>
      </c>
      <c r="H62" s="1">
        <v>124</v>
      </c>
      <c r="I62" s="5">
        <v>45689</v>
      </c>
      <c r="J62" t="s">
        <v>30</v>
      </c>
      <c r="K62" t="s">
        <v>17</v>
      </c>
      <c r="L62" t="s">
        <v>25</v>
      </c>
      <c r="M62" s="1">
        <f>(orders[[#This Row],[Revenue]]-orders[[#This Row],[Cost]])</f>
        <v>102.6</v>
      </c>
      <c r="N62" s="8">
        <f>IFERROR(orders[[#This Row],[profit]]/orders[[#This Row],[Revenue]],0)</f>
        <v>0.45278022947925861</v>
      </c>
      <c r="O62">
        <f>IF(orders[[#This Row],[Delivery Date]]="","",(orders[[#This Row],[Delivery Date]]-orders[[#This Row],[Date]]))</f>
        <v>5</v>
      </c>
      <c r="P62" t="str">
        <f>IF(orders[[#This Row],[delivery days]]="","Not Delivered",IF(orders[[#This Row],[delivery days]]&lt;=2,"Fast",IF(orders[[#This Row],[delivery days]]&lt;=5,"Normal","Delayed")))</f>
        <v>Normal</v>
      </c>
    </row>
    <row r="63" spans="1:16" x14ac:dyDescent="0.25">
      <c r="A63" t="s">
        <v>160</v>
      </c>
      <c r="B63" s="5">
        <v>45684</v>
      </c>
      <c r="C63" t="s">
        <v>161</v>
      </c>
      <c r="D63" t="s">
        <v>65</v>
      </c>
      <c r="E63" t="s">
        <v>62</v>
      </c>
      <c r="F63">
        <v>2</v>
      </c>
      <c r="G63" s="1">
        <v>96</v>
      </c>
      <c r="H63" s="1">
        <v>42</v>
      </c>
      <c r="I63" s="5">
        <v>45686</v>
      </c>
      <c r="J63" t="s">
        <v>30</v>
      </c>
      <c r="K63" t="s">
        <v>17</v>
      </c>
      <c r="L63" t="s">
        <v>25</v>
      </c>
      <c r="M63" s="1">
        <f>(orders[[#This Row],[Revenue]]-orders[[#This Row],[Cost]])</f>
        <v>54</v>
      </c>
      <c r="N63" s="8">
        <f>IFERROR(orders[[#This Row],[profit]]/orders[[#This Row],[Revenue]],0)</f>
        <v>0.5625</v>
      </c>
      <c r="O63">
        <f>IF(orders[[#This Row],[Delivery Date]]="","",(orders[[#This Row],[Delivery Date]]-orders[[#This Row],[Date]]))</f>
        <v>2</v>
      </c>
      <c r="P63" t="str">
        <f>IF(orders[[#This Row],[delivery days]]="","Not Delivered",IF(orders[[#This Row],[delivery days]]&lt;=2,"Fast",IF(orders[[#This Row],[delivery days]]&lt;=5,"Normal","Delayed")))</f>
        <v>Fast</v>
      </c>
    </row>
    <row r="64" spans="1:16" x14ac:dyDescent="0.25">
      <c r="A64" t="s">
        <v>162</v>
      </c>
      <c r="B64" s="5">
        <v>45684</v>
      </c>
      <c r="C64" t="s">
        <v>121</v>
      </c>
      <c r="D64" t="s">
        <v>163</v>
      </c>
      <c r="E64" t="s">
        <v>39</v>
      </c>
      <c r="F64">
        <v>1</v>
      </c>
      <c r="G64" s="1">
        <v>95</v>
      </c>
      <c r="H64" s="1">
        <v>52</v>
      </c>
      <c r="I64" s="5">
        <v>45687</v>
      </c>
      <c r="J64" t="s">
        <v>16</v>
      </c>
      <c r="K64" t="s">
        <v>35</v>
      </c>
      <c r="L64" t="s">
        <v>25</v>
      </c>
      <c r="M64" s="1">
        <f>(orders[[#This Row],[Revenue]]-orders[[#This Row],[Cost]])</f>
        <v>43</v>
      </c>
      <c r="N64" s="8">
        <f>IFERROR(orders[[#This Row],[profit]]/orders[[#This Row],[Revenue]],0)</f>
        <v>0.45263157894736844</v>
      </c>
      <c r="O64">
        <f>IF(orders[[#This Row],[Delivery Date]]="","",(orders[[#This Row],[Delivery Date]]-orders[[#This Row],[Date]]))</f>
        <v>3</v>
      </c>
      <c r="P64" t="str">
        <f>IF(orders[[#This Row],[delivery days]]="","Not Delivered",IF(orders[[#This Row],[delivery days]]&lt;=2,"Fast",IF(orders[[#This Row],[delivery days]]&lt;=5,"Normal","Delayed")))</f>
        <v>Normal</v>
      </c>
    </row>
    <row r="65" spans="1:16" x14ac:dyDescent="0.25">
      <c r="A65" t="s">
        <v>164</v>
      </c>
      <c r="B65" s="5">
        <v>45685</v>
      </c>
      <c r="C65" t="s">
        <v>37</v>
      </c>
      <c r="D65" t="s">
        <v>153</v>
      </c>
      <c r="E65" t="s">
        <v>34</v>
      </c>
      <c r="F65">
        <v>1</v>
      </c>
      <c r="G65" s="1">
        <v>68</v>
      </c>
      <c r="H65" s="1">
        <v>32</v>
      </c>
      <c r="I65" s="5">
        <v>45689</v>
      </c>
      <c r="J65" t="s">
        <v>23</v>
      </c>
      <c r="K65" t="s">
        <v>17</v>
      </c>
      <c r="L65" t="s">
        <v>25</v>
      </c>
      <c r="M65" s="1">
        <f>(orders[[#This Row],[Revenue]]-orders[[#This Row],[Cost]])</f>
        <v>36</v>
      </c>
      <c r="N65" s="8">
        <f>IFERROR(orders[[#This Row],[profit]]/orders[[#This Row],[Revenue]],0)</f>
        <v>0.52941176470588236</v>
      </c>
      <c r="O65">
        <f>IF(orders[[#This Row],[Delivery Date]]="","",(orders[[#This Row],[Delivery Date]]-orders[[#This Row],[Date]]))</f>
        <v>4</v>
      </c>
      <c r="P65" t="str">
        <f>IF(orders[[#This Row],[delivery days]]="","Not Delivered",IF(orders[[#This Row],[delivery days]]&lt;=2,"Fast",IF(orders[[#This Row],[delivery days]]&lt;=5,"Normal","Delayed")))</f>
        <v>Normal</v>
      </c>
    </row>
    <row r="66" spans="1:16" x14ac:dyDescent="0.25">
      <c r="A66" t="s">
        <v>165</v>
      </c>
      <c r="B66" s="5">
        <v>45685</v>
      </c>
      <c r="C66" t="s">
        <v>41</v>
      </c>
      <c r="D66" t="s">
        <v>97</v>
      </c>
      <c r="E66" t="s">
        <v>39</v>
      </c>
      <c r="F66">
        <v>2</v>
      </c>
      <c r="G66" s="1">
        <v>803.4</v>
      </c>
      <c r="H66" s="1">
        <v>520</v>
      </c>
      <c r="I66" s="5">
        <v>45687</v>
      </c>
      <c r="J66" t="s">
        <v>30</v>
      </c>
      <c r="K66" t="s">
        <v>17</v>
      </c>
      <c r="L66" t="s">
        <v>25</v>
      </c>
      <c r="M66" s="1">
        <f>(orders[[#This Row],[Revenue]]-orders[[#This Row],[Cost]])</f>
        <v>283.39999999999998</v>
      </c>
      <c r="N66" s="8">
        <f>IFERROR(orders[[#This Row],[profit]]/orders[[#This Row],[Revenue]],0)</f>
        <v>0.35275080906148865</v>
      </c>
      <c r="O66">
        <f>IF(orders[[#This Row],[Delivery Date]]="","",(orders[[#This Row],[Delivery Date]]-orders[[#This Row],[Date]]))</f>
        <v>2</v>
      </c>
      <c r="P66" t="str">
        <f>IF(orders[[#This Row],[delivery days]]="","Not Delivered",IF(orders[[#This Row],[delivery days]]&lt;=2,"Fast",IF(orders[[#This Row],[delivery days]]&lt;=5,"Normal","Delayed")))</f>
        <v>Fast</v>
      </c>
    </row>
    <row r="67" spans="1:16" x14ac:dyDescent="0.25">
      <c r="A67" t="s">
        <v>166</v>
      </c>
      <c r="B67" s="5">
        <v>45685</v>
      </c>
      <c r="C67" t="s">
        <v>75</v>
      </c>
      <c r="D67" t="s">
        <v>38</v>
      </c>
      <c r="E67" t="s">
        <v>39</v>
      </c>
      <c r="F67">
        <v>1</v>
      </c>
      <c r="G67" s="1">
        <v>850</v>
      </c>
      <c r="H67" s="1">
        <v>622.20000000000005</v>
      </c>
      <c r="I67" s="5">
        <v>45689</v>
      </c>
      <c r="J67" t="s">
        <v>16</v>
      </c>
      <c r="K67" t="s">
        <v>35</v>
      </c>
      <c r="L67" t="s">
        <v>25</v>
      </c>
      <c r="M67" s="1">
        <f>(orders[[#This Row],[Revenue]]-orders[[#This Row],[Cost]])</f>
        <v>227.79999999999995</v>
      </c>
      <c r="N67" s="8">
        <f>IFERROR(orders[[#This Row],[profit]]/orders[[#This Row],[Revenue]],0)</f>
        <v>0.26799999999999996</v>
      </c>
      <c r="O67">
        <f>IF(orders[[#This Row],[Delivery Date]]="","",(orders[[#This Row],[Delivery Date]]-orders[[#This Row],[Date]]))</f>
        <v>4</v>
      </c>
      <c r="P67" t="str">
        <f>IF(orders[[#This Row],[delivery days]]="","Not Delivered",IF(orders[[#This Row],[delivery days]]&lt;=2,"Fast",IF(orders[[#This Row],[delivery days]]&lt;=5,"Normal","Delayed")))</f>
        <v>Normal</v>
      </c>
    </row>
    <row r="68" spans="1:16" x14ac:dyDescent="0.25">
      <c r="A68" t="s">
        <v>167</v>
      </c>
      <c r="B68" s="5">
        <v>45685</v>
      </c>
      <c r="C68" t="s">
        <v>82</v>
      </c>
      <c r="D68" t="s">
        <v>168</v>
      </c>
      <c r="E68" t="s">
        <v>29</v>
      </c>
      <c r="F68">
        <v>3</v>
      </c>
      <c r="G68" s="1">
        <v>66</v>
      </c>
      <c r="H68" s="1">
        <v>24</v>
      </c>
      <c r="I68" s="5">
        <v>45688</v>
      </c>
      <c r="J68" t="s">
        <v>30</v>
      </c>
      <c r="K68" t="s">
        <v>35</v>
      </c>
      <c r="L68" t="s">
        <v>25</v>
      </c>
      <c r="M68" s="1">
        <f>(orders[[#This Row],[Revenue]]-orders[[#This Row],[Cost]])</f>
        <v>42</v>
      </c>
      <c r="N68" s="8">
        <f>IFERROR(orders[[#This Row],[profit]]/orders[[#This Row],[Revenue]],0)</f>
        <v>0.63636363636363635</v>
      </c>
      <c r="O68">
        <f>IF(orders[[#This Row],[Delivery Date]]="","",(orders[[#This Row],[Delivery Date]]-orders[[#This Row],[Date]]))</f>
        <v>3</v>
      </c>
      <c r="P68" t="str">
        <f>IF(orders[[#This Row],[delivery days]]="","Not Delivered",IF(orders[[#This Row],[delivery days]]&lt;=2,"Fast",IF(orders[[#This Row],[delivery days]]&lt;=5,"Normal","Delayed")))</f>
        <v>Normal</v>
      </c>
    </row>
    <row r="69" spans="1:16" x14ac:dyDescent="0.25">
      <c r="A69" t="s">
        <v>169</v>
      </c>
      <c r="B69" s="5">
        <v>45686</v>
      </c>
      <c r="C69" t="s">
        <v>137</v>
      </c>
      <c r="D69" t="s">
        <v>70</v>
      </c>
      <c r="E69" t="s">
        <v>62</v>
      </c>
      <c r="F69">
        <v>2</v>
      </c>
      <c r="G69" s="1">
        <v>261.89999999999998</v>
      </c>
      <c r="H69" s="1">
        <v>156</v>
      </c>
      <c r="I69" s="5">
        <v>45692</v>
      </c>
      <c r="J69" t="s">
        <v>16</v>
      </c>
      <c r="K69" t="s">
        <v>17</v>
      </c>
      <c r="L69" t="s">
        <v>25</v>
      </c>
      <c r="M69" s="1">
        <f>(orders[[#This Row],[Revenue]]-orders[[#This Row],[Cost]])</f>
        <v>105.89999999999998</v>
      </c>
      <c r="N69" s="8">
        <f>IFERROR(orders[[#This Row],[profit]]/orders[[#This Row],[Revenue]],0)</f>
        <v>0.40435280641466204</v>
      </c>
      <c r="O69">
        <f>IF(orders[[#This Row],[Delivery Date]]="","",(orders[[#This Row],[Delivery Date]]-orders[[#This Row],[Date]]))</f>
        <v>6</v>
      </c>
      <c r="P69" t="str">
        <f>IF(orders[[#This Row],[delivery days]]="","Not Delivered",IF(orders[[#This Row],[delivery days]]&lt;=2,"Fast",IF(orders[[#This Row],[delivery days]]&lt;=5,"Normal","Delayed")))</f>
        <v>Delayed</v>
      </c>
    </row>
    <row r="70" spans="1:16" x14ac:dyDescent="0.25">
      <c r="A70" t="s">
        <v>170</v>
      </c>
      <c r="B70" s="5">
        <v>45686</v>
      </c>
      <c r="C70" t="s">
        <v>171</v>
      </c>
      <c r="D70" t="s">
        <v>108</v>
      </c>
      <c r="E70" t="s">
        <v>22</v>
      </c>
      <c r="F70">
        <v>1</v>
      </c>
      <c r="G70" s="1">
        <v>95</v>
      </c>
      <c r="H70" s="1">
        <v>42.84</v>
      </c>
      <c r="I70" s="5">
        <v>45690</v>
      </c>
      <c r="J70" t="s">
        <v>23</v>
      </c>
      <c r="K70" t="s">
        <v>24</v>
      </c>
      <c r="L70" t="s">
        <v>25</v>
      </c>
      <c r="M70" s="1">
        <f>(orders[[#This Row],[Revenue]]-orders[[#This Row],[Cost]])</f>
        <v>52.16</v>
      </c>
      <c r="N70" s="8">
        <f>IFERROR(orders[[#This Row],[profit]]/orders[[#This Row],[Revenue]],0)</f>
        <v>0.54905263157894735</v>
      </c>
      <c r="O70">
        <f>IF(orders[[#This Row],[Delivery Date]]="","",(orders[[#This Row],[Delivery Date]]-orders[[#This Row],[Date]]))</f>
        <v>4</v>
      </c>
      <c r="P70" t="str">
        <f>IF(orders[[#This Row],[delivery days]]="","Not Delivered",IF(orders[[#This Row],[delivery days]]&lt;=2,"Fast",IF(orders[[#This Row],[delivery days]]&lt;=5,"Normal","Delayed")))</f>
        <v>Normal</v>
      </c>
    </row>
    <row r="71" spans="1:16" x14ac:dyDescent="0.25">
      <c r="A71" t="s">
        <v>172</v>
      </c>
      <c r="B71" s="5">
        <v>45686</v>
      </c>
      <c r="C71" t="s">
        <v>64</v>
      </c>
      <c r="D71" t="s">
        <v>83</v>
      </c>
      <c r="E71" t="s">
        <v>15</v>
      </c>
      <c r="F71">
        <v>3</v>
      </c>
      <c r="G71" s="1">
        <v>225</v>
      </c>
      <c r="H71" s="1">
        <v>117</v>
      </c>
      <c r="I71" s="5">
        <v>45689</v>
      </c>
      <c r="J71" t="s">
        <v>23</v>
      </c>
      <c r="K71" t="s">
        <v>17</v>
      </c>
      <c r="L71" t="s">
        <v>25</v>
      </c>
      <c r="M71" s="1">
        <f>(orders[[#This Row],[Revenue]]-orders[[#This Row],[Cost]])</f>
        <v>108</v>
      </c>
      <c r="N71" s="8">
        <f>IFERROR(orders[[#This Row],[profit]]/orders[[#This Row],[Revenue]],0)</f>
        <v>0.48</v>
      </c>
      <c r="O71">
        <f>IF(orders[[#This Row],[Delivery Date]]="","",(orders[[#This Row],[Delivery Date]]-orders[[#This Row],[Date]]))</f>
        <v>3</v>
      </c>
      <c r="P71" t="str">
        <f>IF(orders[[#This Row],[delivery days]]="","Not Delivered",IF(orders[[#This Row],[delivery days]]&lt;=2,"Fast",IF(orders[[#This Row],[delivery days]]&lt;=5,"Normal","Delayed")))</f>
        <v>Normal</v>
      </c>
    </row>
    <row r="72" spans="1:16" x14ac:dyDescent="0.25">
      <c r="A72" t="s">
        <v>173</v>
      </c>
      <c r="B72" s="5">
        <v>45686</v>
      </c>
      <c r="C72" t="s">
        <v>174</v>
      </c>
      <c r="D72" t="s">
        <v>21</v>
      </c>
      <c r="E72" t="s">
        <v>22</v>
      </c>
      <c r="F72">
        <v>2</v>
      </c>
      <c r="G72" s="1">
        <v>62.08</v>
      </c>
      <c r="H72" s="1">
        <v>26</v>
      </c>
      <c r="I72" s="5"/>
      <c r="J72" t="s">
        <v>30</v>
      </c>
      <c r="K72" t="s">
        <v>17</v>
      </c>
      <c r="L72" t="s">
        <v>42</v>
      </c>
      <c r="M72" s="1">
        <f>(orders[[#This Row],[Revenue]]-orders[[#This Row],[Cost]])</f>
        <v>36.08</v>
      </c>
      <c r="N72" s="8">
        <f>IFERROR(orders[[#This Row],[profit]]/orders[[#This Row],[Revenue]],0)</f>
        <v>0.58118556701030921</v>
      </c>
      <c r="O72" t="str">
        <f>IF(orders[[#This Row],[Delivery Date]]="","",(orders[[#This Row],[Delivery Date]]-orders[[#This Row],[Date]]))</f>
        <v/>
      </c>
      <c r="P72" t="str">
        <f>IF(orders[[#This Row],[delivery days]]="","Not Delivered",IF(orders[[#This Row],[delivery days]]&lt;=2,"Fast",IF(orders[[#This Row],[delivery days]]&lt;=5,"Normal","Delayed")))</f>
        <v>Not Delivered</v>
      </c>
    </row>
    <row r="73" spans="1:16" x14ac:dyDescent="0.25">
      <c r="A73" t="s">
        <v>175</v>
      </c>
      <c r="B73" s="5">
        <v>45686</v>
      </c>
      <c r="C73" t="s">
        <v>176</v>
      </c>
      <c r="D73" t="s">
        <v>177</v>
      </c>
      <c r="E73" t="s">
        <v>34</v>
      </c>
      <c r="F73">
        <v>2</v>
      </c>
      <c r="G73" s="1">
        <v>290</v>
      </c>
      <c r="H73" s="1">
        <v>156</v>
      </c>
      <c r="I73" s="5">
        <v>45687</v>
      </c>
      <c r="J73" t="s">
        <v>30</v>
      </c>
      <c r="K73" t="s">
        <v>35</v>
      </c>
      <c r="L73" t="s">
        <v>25</v>
      </c>
      <c r="M73" s="1">
        <f>(orders[[#This Row],[Revenue]]-orders[[#This Row],[Cost]])</f>
        <v>134</v>
      </c>
      <c r="N73" s="8">
        <f>IFERROR(orders[[#This Row],[profit]]/orders[[#This Row],[Revenue]],0)</f>
        <v>0.46206896551724136</v>
      </c>
      <c r="O73">
        <f>IF(orders[[#This Row],[Delivery Date]]="","",(orders[[#This Row],[Delivery Date]]-orders[[#This Row],[Date]]))</f>
        <v>1</v>
      </c>
      <c r="P73" t="str">
        <f>IF(orders[[#This Row],[delivery days]]="","Not Delivered",IF(orders[[#This Row],[delivery days]]&lt;=2,"Fast",IF(orders[[#This Row],[delivery days]]&lt;=5,"Normal","Delayed")))</f>
        <v>Fast</v>
      </c>
    </row>
    <row r="74" spans="1:16" x14ac:dyDescent="0.25">
      <c r="A74" t="s">
        <v>178</v>
      </c>
      <c r="B74" s="5">
        <v>45687</v>
      </c>
      <c r="C74" t="s">
        <v>176</v>
      </c>
      <c r="D74" t="s">
        <v>179</v>
      </c>
      <c r="E74" t="s">
        <v>34</v>
      </c>
      <c r="F74">
        <v>3</v>
      </c>
      <c r="G74" s="1">
        <v>139.05000000000001</v>
      </c>
      <c r="H74" s="1">
        <v>57</v>
      </c>
      <c r="I74" s="5">
        <v>45690</v>
      </c>
      <c r="J74" t="s">
        <v>23</v>
      </c>
      <c r="K74" t="s">
        <v>17</v>
      </c>
      <c r="L74" t="s">
        <v>25</v>
      </c>
      <c r="M74" s="1">
        <f>(orders[[#This Row],[Revenue]]-orders[[#This Row],[Cost]])</f>
        <v>82.050000000000011</v>
      </c>
      <c r="N74" s="8">
        <f>IFERROR(orders[[#This Row],[profit]]/orders[[#This Row],[Revenue]],0)</f>
        <v>0.59007551240560951</v>
      </c>
      <c r="O74">
        <f>IF(orders[[#This Row],[Delivery Date]]="","",(orders[[#This Row],[Delivery Date]]-orders[[#This Row],[Date]]))</f>
        <v>3</v>
      </c>
      <c r="P74" t="str">
        <f>IF(orders[[#This Row],[delivery days]]="","Not Delivered",IF(orders[[#This Row],[delivery days]]&lt;=2,"Fast",IF(orders[[#This Row],[delivery days]]&lt;=5,"Normal","Delayed")))</f>
        <v>Normal</v>
      </c>
    </row>
    <row r="75" spans="1:16" x14ac:dyDescent="0.25">
      <c r="A75" t="s">
        <v>180</v>
      </c>
      <c r="B75" s="5">
        <v>45687</v>
      </c>
      <c r="C75" t="s">
        <v>181</v>
      </c>
      <c r="D75" t="s">
        <v>65</v>
      </c>
      <c r="E75" t="s">
        <v>62</v>
      </c>
      <c r="F75">
        <v>2</v>
      </c>
      <c r="G75" s="1">
        <v>96</v>
      </c>
      <c r="H75" s="1">
        <v>42</v>
      </c>
      <c r="I75" s="5">
        <v>45689</v>
      </c>
      <c r="J75" t="s">
        <v>30</v>
      </c>
      <c r="K75" t="s">
        <v>35</v>
      </c>
      <c r="L75" t="s">
        <v>25</v>
      </c>
      <c r="M75" s="1">
        <f>(orders[[#This Row],[Revenue]]-orders[[#This Row],[Cost]])</f>
        <v>54</v>
      </c>
      <c r="N75" s="8">
        <f>IFERROR(orders[[#This Row],[profit]]/orders[[#This Row],[Revenue]],0)</f>
        <v>0.5625</v>
      </c>
      <c r="O75">
        <f>IF(orders[[#This Row],[Delivery Date]]="","",(orders[[#This Row],[Delivery Date]]-orders[[#This Row],[Date]]))</f>
        <v>2</v>
      </c>
      <c r="P75" t="str">
        <f>IF(orders[[#This Row],[delivery days]]="","Not Delivered",IF(orders[[#This Row],[delivery days]]&lt;=2,"Fast",IF(orders[[#This Row],[delivery days]]&lt;=5,"Normal","Delayed")))</f>
        <v>Fast</v>
      </c>
    </row>
    <row r="76" spans="1:16" x14ac:dyDescent="0.25">
      <c r="A76" t="s">
        <v>182</v>
      </c>
      <c r="B76" s="5">
        <v>45687</v>
      </c>
      <c r="C76" t="s">
        <v>96</v>
      </c>
      <c r="D76" t="s">
        <v>179</v>
      </c>
      <c r="E76" t="s">
        <v>34</v>
      </c>
      <c r="F76">
        <v>1</v>
      </c>
      <c r="G76" s="1">
        <v>45</v>
      </c>
      <c r="H76" s="1">
        <v>19</v>
      </c>
      <c r="I76" s="5">
        <v>45689</v>
      </c>
      <c r="J76" t="s">
        <v>46</v>
      </c>
      <c r="K76" t="s">
        <v>47</v>
      </c>
      <c r="L76" t="s">
        <v>25</v>
      </c>
      <c r="M76" s="1">
        <f>(orders[[#This Row],[Revenue]]-orders[[#This Row],[Cost]])</f>
        <v>26</v>
      </c>
      <c r="N76" s="8">
        <f>IFERROR(orders[[#This Row],[profit]]/orders[[#This Row],[Revenue]],0)</f>
        <v>0.57777777777777772</v>
      </c>
      <c r="O76">
        <f>IF(orders[[#This Row],[Delivery Date]]="","",(orders[[#This Row],[Delivery Date]]-orders[[#This Row],[Date]]))</f>
        <v>2</v>
      </c>
      <c r="P76" t="str">
        <f>IF(orders[[#This Row],[delivery days]]="","Not Delivered",IF(orders[[#This Row],[delivery days]]&lt;=2,"Fast",IF(orders[[#This Row],[delivery days]]&lt;=5,"Normal","Delayed")))</f>
        <v>Fast</v>
      </c>
    </row>
    <row r="77" spans="1:16" x14ac:dyDescent="0.25">
      <c r="A77" t="s">
        <v>183</v>
      </c>
      <c r="B77" s="5">
        <v>45688</v>
      </c>
      <c r="C77" t="s">
        <v>184</v>
      </c>
      <c r="D77" t="s">
        <v>153</v>
      </c>
      <c r="E77" t="s">
        <v>34</v>
      </c>
      <c r="F77">
        <v>1</v>
      </c>
      <c r="G77" s="1">
        <v>65.959999999999994</v>
      </c>
      <c r="H77" s="1">
        <v>32</v>
      </c>
      <c r="I77" s="5">
        <v>45692</v>
      </c>
      <c r="J77" t="s">
        <v>101</v>
      </c>
      <c r="K77" t="s">
        <v>47</v>
      </c>
      <c r="L77" t="s">
        <v>25</v>
      </c>
      <c r="M77" s="1">
        <f>(orders[[#This Row],[Revenue]]-orders[[#This Row],[Cost]])</f>
        <v>33.959999999999994</v>
      </c>
      <c r="N77" s="8">
        <f>IFERROR(orders[[#This Row],[profit]]/orders[[#This Row],[Revenue]],0)</f>
        <v>0.51485748938750753</v>
      </c>
      <c r="O77">
        <f>IF(orders[[#This Row],[Delivery Date]]="","",(orders[[#This Row],[Delivery Date]]-orders[[#This Row],[Date]]))</f>
        <v>4</v>
      </c>
      <c r="P77" t="str">
        <f>IF(orders[[#This Row],[delivery days]]="","Not Delivered",IF(orders[[#This Row],[delivery days]]&lt;=2,"Fast",IF(orders[[#This Row],[delivery days]]&lt;=5,"Normal","Delayed")))</f>
        <v>Normal</v>
      </c>
    </row>
    <row r="78" spans="1:16" x14ac:dyDescent="0.25">
      <c r="A78" t="s">
        <v>185</v>
      </c>
      <c r="B78" s="5">
        <v>45688</v>
      </c>
      <c r="C78" t="s">
        <v>142</v>
      </c>
      <c r="D78" t="s">
        <v>113</v>
      </c>
      <c r="E78" t="s">
        <v>15</v>
      </c>
      <c r="F78">
        <v>4</v>
      </c>
      <c r="G78" s="1">
        <v>380</v>
      </c>
      <c r="H78" s="1">
        <v>192</v>
      </c>
      <c r="I78" s="5">
        <v>45691</v>
      </c>
      <c r="J78" t="s">
        <v>30</v>
      </c>
      <c r="K78" t="s">
        <v>35</v>
      </c>
      <c r="L78" t="s">
        <v>25</v>
      </c>
      <c r="M78" s="1">
        <f>(orders[[#This Row],[Revenue]]-orders[[#This Row],[Cost]])</f>
        <v>188</v>
      </c>
      <c r="N78" s="8">
        <f>IFERROR(orders[[#This Row],[profit]]/orders[[#This Row],[Revenue]],0)</f>
        <v>0.49473684210526314</v>
      </c>
      <c r="O78">
        <f>IF(orders[[#This Row],[Delivery Date]]="","",(orders[[#This Row],[Delivery Date]]-orders[[#This Row],[Date]]))</f>
        <v>3</v>
      </c>
      <c r="P78" t="str">
        <f>IF(orders[[#This Row],[delivery days]]="","Not Delivered",IF(orders[[#This Row],[delivery days]]&lt;=2,"Fast",IF(orders[[#This Row],[delivery days]]&lt;=5,"Normal","Delayed")))</f>
        <v>Normal</v>
      </c>
    </row>
    <row r="79" spans="1:16" x14ac:dyDescent="0.25">
      <c r="A79" t="s">
        <v>186</v>
      </c>
      <c r="B79" s="5">
        <v>45688</v>
      </c>
      <c r="C79" t="s">
        <v>184</v>
      </c>
      <c r="D79" t="s">
        <v>187</v>
      </c>
      <c r="E79" t="s">
        <v>15</v>
      </c>
      <c r="F79">
        <v>1</v>
      </c>
      <c r="G79" s="1">
        <v>35</v>
      </c>
      <c r="H79" s="1">
        <v>16</v>
      </c>
      <c r="I79" s="5">
        <v>45696</v>
      </c>
      <c r="J79" t="s">
        <v>52</v>
      </c>
      <c r="K79" t="s">
        <v>24</v>
      </c>
      <c r="L79" t="s">
        <v>25</v>
      </c>
      <c r="M79" s="1">
        <f>(orders[[#This Row],[Revenue]]-orders[[#This Row],[Cost]])</f>
        <v>19</v>
      </c>
      <c r="N79" s="8">
        <f>IFERROR(orders[[#This Row],[profit]]/orders[[#This Row],[Revenue]],0)</f>
        <v>0.54285714285714282</v>
      </c>
      <c r="O79">
        <f>IF(orders[[#This Row],[Delivery Date]]="","",(orders[[#This Row],[Delivery Date]]-orders[[#This Row],[Date]]))</f>
        <v>8</v>
      </c>
      <c r="P79" t="str">
        <f>IF(orders[[#This Row],[delivery days]]="","Not Delivered",IF(orders[[#This Row],[delivery days]]&lt;=2,"Fast",IF(orders[[#This Row],[delivery days]]&lt;=5,"Normal","Delayed")))</f>
        <v>Delayed</v>
      </c>
    </row>
    <row r="80" spans="1:16" x14ac:dyDescent="0.25">
      <c r="A80" t="s">
        <v>188</v>
      </c>
      <c r="B80" s="5">
        <v>45688</v>
      </c>
      <c r="C80" t="s">
        <v>184</v>
      </c>
      <c r="D80" t="s">
        <v>110</v>
      </c>
      <c r="E80" t="s">
        <v>39</v>
      </c>
      <c r="F80">
        <v>1</v>
      </c>
      <c r="G80" s="1">
        <v>210</v>
      </c>
      <c r="H80" s="1">
        <v>125</v>
      </c>
      <c r="I80" s="5">
        <v>45691</v>
      </c>
      <c r="J80" t="s">
        <v>16</v>
      </c>
      <c r="K80" t="s">
        <v>35</v>
      </c>
      <c r="L80" t="s">
        <v>25</v>
      </c>
      <c r="M80" s="1">
        <f>(orders[[#This Row],[Revenue]]-orders[[#This Row],[Cost]])</f>
        <v>85</v>
      </c>
      <c r="N80" s="8">
        <f>IFERROR(orders[[#This Row],[profit]]/orders[[#This Row],[Revenue]],0)</f>
        <v>0.40476190476190477</v>
      </c>
      <c r="O80">
        <f>IF(orders[[#This Row],[Delivery Date]]="","",(orders[[#This Row],[Delivery Date]]-orders[[#This Row],[Date]]))</f>
        <v>3</v>
      </c>
      <c r="P80" t="str">
        <f>IF(orders[[#This Row],[delivery days]]="","Not Delivered",IF(orders[[#This Row],[delivery days]]&lt;=2,"Fast",IF(orders[[#This Row],[delivery days]]&lt;=5,"Normal","Delayed")))</f>
        <v>Normal</v>
      </c>
    </row>
    <row r="81" spans="1:16" x14ac:dyDescent="0.25">
      <c r="A81" t="s">
        <v>189</v>
      </c>
      <c r="B81" s="5">
        <v>45689</v>
      </c>
      <c r="C81" t="s">
        <v>79</v>
      </c>
      <c r="D81" t="s">
        <v>65</v>
      </c>
      <c r="E81" t="s">
        <v>62</v>
      </c>
      <c r="F81">
        <v>2</v>
      </c>
      <c r="G81" s="1">
        <v>103.68</v>
      </c>
      <c r="H81" s="1">
        <v>42</v>
      </c>
      <c r="I81" s="5">
        <v>45692</v>
      </c>
      <c r="J81" t="s">
        <v>23</v>
      </c>
      <c r="K81" t="s">
        <v>24</v>
      </c>
      <c r="L81" t="s">
        <v>25</v>
      </c>
      <c r="M81" s="1">
        <f>(orders[[#This Row],[Revenue]]-orders[[#This Row],[Cost]])</f>
        <v>61.680000000000007</v>
      </c>
      <c r="N81" s="8">
        <f>IFERROR(orders[[#This Row],[profit]]/orders[[#This Row],[Revenue]],0)</f>
        <v>0.59490740740740744</v>
      </c>
      <c r="O81">
        <f>IF(orders[[#This Row],[Delivery Date]]="","",(orders[[#This Row],[Delivery Date]]-orders[[#This Row],[Date]]))</f>
        <v>3</v>
      </c>
      <c r="P81" t="str">
        <f>IF(orders[[#This Row],[delivery days]]="","Not Delivered",IF(orders[[#This Row],[delivery days]]&lt;=2,"Fast",IF(orders[[#This Row],[delivery days]]&lt;=5,"Normal","Delayed")))</f>
        <v>Normal</v>
      </c>
    </row>
    <row r="82" spans="1:16" x14ac:dyDescent="0.25">
      <c r="A82" t="s">
        <v>190</v>
      </c>
      <c r="B82" s="5">
        <v>45690</v>
      </c>
      <c r="C82" t="s">
        <v>191</v>
      </c>
      <c r="D82" t="s">
        <v>55</v>
      </c>
      <c r="E82" t="s">
        <v>39</v>
      </c>
      <c r="F82">
        <v>1</v>
      </c>
      <c r="G82" s="1">
        <v>386.4</v>
      </c>
      <c r="H82" s="1">
        <v>275</v>
      </c>
      <c r="I82" s="5">
        <v>45693</v>
      </c>
      <c r="J82" t="s">
        <v>16</v>
      </c>
      <c r="K82" t="s">
        <v>35</v>
      </c>
      <c r="L82" t="s">
        <v>25</v>
      </c>
      <c r="M82" s="1">
        <f>(orders[[#This Row],[Revenue]]-orders[[#This Row],[Cost]])</f>
        <v>111.39999999999998</v>
      </c>
      <c r="N82" s="8">
        <f>IFERROR(orders[[#This Row],[profit]]/orders[[#This Row],[Revenue]],0)</f>
        <v>0.2883022774327122</v>
      </c>
      <c r="O82">
        <f>IF(orders[[#This Row],[Delivery Date]]="","",(orders[[#This Row],[Delivery Date]]-orders[[#This Row],[Date]]))</f>
        <v>3</v>
      </c>
      <c r="P82" t="str">
        <f>IF(orders[[#This Row],[delivery days]]="","Not Delivered",IF(orders[[#This Row],[delivery days]]&lt;=2,"Fast",IF(orders[[#This Row],[delivery days]]&lt;=5,"Normal","Delayed")))</f>
        <v>Normal</v>
      </c>
    </row>
    <row r="83" spans="1:16" x14ac:dyDescent="0.25">
      <c r="A83" t="s">
        <v>192</v>
      </c>
      <c r="B83" s="5">
        <v>45690</v>
      </c>
      <c r="C83" t="s">
        <v>99</v>
      </c>
      <c r="D83" t="s">
        <v>100</v>
      </c>
      <c r="E83" t="s">
        <v>34</v>
      </c>
      <c r="F83">
        <v>1</v>
      </c>
      <c r="G83" s="1">
        <v>52</v>
      </c>
      <c r="H83" s="1">
        <v>23</v>
      </c>
      <c r="I83" s="5">
        <v>45695</v>
      </c>
      <c r="J83" t="s">
        <v>101</v>
      </c>
      <c r="K83" t="s">
        <v>35</v>
      </c>
      <c r="L83" t="s">
        <v>25</v>
      </c>
      <c r="M83" s="1">
        <f>(orders[[#This Row],[Revenue]]-orders[[#This Row],[Cost]])</f>
        <v>29</v>
      </c>
      <c r="N83" s="8">
        <f>IFERROR(orders[[#This Row],[profit]]/orders[[#This Row],[Revenue]],0)</f>
        <v>0.55769230769230771</v>
      </c>
      <c r="O83">
        <f>IF(orders[[#This Row],[Delivery Date]]="","",(orders[[#This Row],[Delivery Date]]-orders[[#This Row],[Date]]))</f>
        <v>5</v>
      </c>
      <c r="P83" t="str">
        <f>IF(orders[[#This Row],[delivery days]]="","Not Delivered",IF(orders[[#This Row],[delivery days]]&lt;=2,"Fast",IF(orders[[#This Row],[delivery days]]&lt;=5,"Normal","Delayed")))</f>
        <v>Normal</v>
      </c>
    </row>
    <row r="84" spans="1:16" x14ac:dyDescent="0.25">
      <c r="A84" t="s">
        <v>193</v>
      </c>
      <c r="B84" s="5">
        <v>45690</v>
      </c>
      <c r="C84" t="s">
        <v>184</v>
      </c>
      <c r="D84" t="s">
        <v>187</v>
      </c>
      <c r="E84" t="s">
        <v>15</v>
      </c>
      <c r="F84">
        <v>2</v>
      </c>
      <c r="G84" s="1">
        <v>72.099999999999994</v>
      </c>
      <c r="H84" s="1">
        <v>32</v>
      </c>
      <c r="I84" s="5">
        <v>45696</v>
      </c>
      <c r="J84" t="s">
        <v>46</v>
      </c>
      <c r="K84" t="s">
        <v>47</v>
      </c>
      <c r="L84" t="s">
        <v>25</v>
      </c>
      <c r="M84" s="1">
        <f>(orders[[#This Row],[Revenue]]-orders[[#This Row],[Cost]])</f>
        <v>40.099999999999994</v>
      </c>
      <c r="N84" s="8">
        <f>IFERROR(orders[[#This Row],[profit]]/orders[[#This Row],[Revenue]],0)</f>
        <v>0.55617198335644935</v>
      </c>
      <c r="O84">
        <f>IF(orders[[#This Row],[Delivery Date]]="","",(orders[[#This Row],[Delivery Date]]-orders[[#This Row],[Date]]))</f>
        <v>6</v>
      </c>
      <c r="P84" t="str">
        <f>IF(orders[[#This Row],[delivery days]]="","Not Delivered",IF(orders[[#This Row],[delivery days]]&lt;=2,"Fast",IF(orders[[#This Row],[delivery days]]&lt;=5,"Normal","Delayed")))</f>
        <v>Delayed</v>
      </c>
    </row>
    <row r="85" spans="1:16" x14ac:dyDescent="0.25">
      <c r="A85" t="s">
        <v>194</v>
      </c>
      <c r="B85" s="5">
        <v>45691</v>
      </c>
      <c r="C85" t="s">
        <v>195</v>
      </c>
      <c r="D85" t="s">
        <v>65</v>
      </c>
      <c r="E85" t="s">
        <v>62</v>
      </c>
      <c r="F85">
        <v>3</v>
      </c>
      <c r="G85" s="1">
        <v>139.68</v>
      </c>
      <c r="H85" s="1">
        <v>63</v>
      </c>
      <c r="I85" s="5">
        <v>45693</v>
      </c>
      <c r="J85" t="s">
        <v>46</v>
      </c>
      <c r="K85" t="s">
        <v>47</v>
      </c>
      <c r="L85" t="s">
        <v>25</v>
      </c>
      <c r="M85" s="1">
        <f>(orders[[#This Row],[Revenue]]-orders[[#This Row],[Cost]])</f>
        <v>76.680000000000007</v>
      </c>
      <c r="N85" s="8">
        <f>IFERROR(orders[[#This Row],[profit]]/orders[[#This Row],[Revenue]],0)</f>
        <v>0.5489690721649485</v>
      </c>
      <c r="O85">
        <f>IF(orders[[#This Row],[Delivery Date]]="","",(orders[[#This Row],[Delivery Date]]-orders[[#This Row],[Date]]))</f>
        <v>2</v>
      </c>
      <c r="P85" t="str">
        <f>IF(orders[[#This Row],[delivery days]]="","Not Delivered",IF(orders[[#This Row],[delivery days]]&lt;=2,"Fast",IF(orders[[#This Row],[delivery days]]&lt;=5,"Normal","Delayed")))</f>
        <v>Fast</v>
      </c>
    </row>
    <row r="86" spans="1:16" x14ac:dyDescent="0.25">
      <c r="A86" t="s">
        <v>196</v>
      </c>
      <c r="B86" s="5">
        <v>45691</v>
      </c>
      <c r="C86" t="s">
        <v>92</v>
      </c>
      <c r="D86" t="s">
        <v>153</v>
      </c>
      <c r="E86" t="s">
        <v>34</v>
      </c>
      <c r="F86">
        <v>1</v>
      </c>
      <c r="G86" s="1">
        <v>68</v>
      </c>
      <c r="H86" s="1">
        <v>31.36</v>
      </c>
      <c r="I86" s="5">
        <v>45695</v>
      </c>
      <c r="J86" t="s">
        <v>30</v>
      </c>
      <c r="K86" t="s">
        <v>17</v>
      </c>
      <c r="L86" t="s">
        <v>25</v>
      </c>
      <c r="M86" s="1">
        <f>(orders[[#This Row],[Revenue]]-orders[[#This Row],[Cost]])</f>
        <v>36.64</v>
      </c>
      <c r="N86" s="8">
        <f>IFERROR(orders[[#This Row],[profit]]/orders[[#This Row],[Revenue]],0)</f>
        <v>0.5388235294117647</v>
      </c>
      <c r="O86">
        <f>IF(orders[[#This Row],[Delivery Date]]="","",(orders[[#This Row],[Delivery Date]]-orders[[#This Row],[Date]]))</f>
        <v>4</v>
      </c>
      <c r="P86" t="str">
        <f>IF(orders[[#This Row],[delivery days]]="","Not Delivered",IF(orders[[#This Row],[delivery days]]&lt;=2,"Fast",IF(orders[[#This Row],[delivery days]]&lt;=5,"Normal","Delayed")))</f>
        <v>Normal</v>
      </c>
    </row>
    <row r="87" spans="1:16" x14ac:dyDescent="0.25">
      <c r="A87" t="s">
        <v>197</v>
      </c>
      <c r="B87" s="5">
        <v>45691</v>
      </c>
      <c r="C87" t="s">
        <v>94</v>
      </c>
      <c r="D87" t="s">
        <v>21</v>
      </c>
      <c r="E87" t="s">
        <v>22</v>
      </c>
      <c r="F87">
        <v>1</v>
      </c>
      <c r="G87" s="1">
        <v>32.96</v>
      </c>
      <c r="H87" s="1">
        <v>12.74</v>
      </c>
      <c r="I87" s="5">
        <v>45694</v>
      </c>
      <c r="J87" t="s">
        <v>46</v>
      </c>
      <c r="K87" t="s">
        <v>24</v>
      </c>
      <c r="L87" t="s">
        <v>25</v>
      </c>
      <c r="M87" s="1">
        <f>(orders[[#This Row],[Revenue]]-orders[[#This Row],[Cost]])</f>
        <v>20.22</v>
      </c>
      <c r="N87" s="8">
        <f>IFERROR(orders[[#This Row],[profit]]/orders[[#This Row],[Revenue]],0)</f>
        <v>0.61347087378640774</v>
      </c>
      <c r="O87">
        <f>IF(orders[[#This Row],[Delivery Date]]="","",(orders[[#This Row],[Delivery Date]]-orders[[#This Row],[Date]]))</f>
        <v>3</v>
      </c>
      <c r="P87" t="str">
        <f>IF(orders[[#This Row],[delivery days]]="","Not Delivered",IF(orders[[#This Row],[delivery days]]&lt;=2,"Fast",IF(orders[[#This Row],[delivery days]]&lt;=5,"Normal","Delayed")))</f>
        <v>Normal</v>
      </c>
    </row>
    <row r="88" spans="1:16" x14ac:dyDescent="0.25">
      <c r="A88" t="s">
        <v>198</v>
      </c>
      <c r="B88" s="5">
        <v>45692</v>
      </c>
      <c r="C88" t="s">
        <v>27</v>
      </c>
      <c r="D88" t="s">
        <v>14</v>
      </c>
      <c r="E88" t="s">
        <v>15</v>
      </c>
      <c r="F88">
        <v>2</v>
      </c>
      <c r="G88" s="1">
        <v>50</v>
      </c>
      <c r="H88" s="1">
        <v>18</v>
      </c>
      <c r="I88" s="5">
        <v>45696</v>
      </c>
      <c r="J88" t="s">
        <v>101</v>
      </c>
      <c r="K88" t="s">
        <v>47</v>
      </c>
      <c r="L88" t="s">
        <v>25</v>
      </c>
      <c r="M88" s="1">
        <f>(orders[[#This Row],[Revenue]]-orders[[#This Row],[Cost]])</f>
        <v>32</v>
      </c>
      <c r="N88" s="8">
        <f>IFERROR(orders[[#This Row],[profit]]/orders[[#This Row],[Revenue]],0)</f>
        <v>0.64</v>
      </c>
      <c r="O88">
        <f>IF(orders[[#This Row],[Delivery Date]]="","",(orders[[#This Row],[Delivery Date]]-orders[[#This Row],[Date]]))</f>
        <v>4</v>
      </c>
      <c r="P88" t="str">
        <f>IF(orders[[#This Row],[delivery days]]="","Not Delivered",IF(orders[[#This Row],[delivery days]]&lt;=2,"Fast",IF(orders[[#This Row],[delivery days]]&lt;=5,"Normal","Delayed")))</f>
        <v>Normal</v>
      </c>
    </row>
    <row r="89" spans="1:16" x14ac:dyDescent="0.25">
      <c r="A89" t="s">
        <v>199</v>
      </c>
      <c r="B89" s="5">
        <v>45692</v>
      </c>
      <c r="C89" t="s">
        <v>200</v>
      </c>
      <c r="D89" t="s">
        <v>127</v>
      </c>
      <c r="E89" t="s">
        <v>29</v>
      </c>
      <c r="F89">
        <v>1</v>
      </c>
      <c r="G89" s="1">
        <v>18</v>
      </c>
      <c r="H89" s="1">
        <v>6</v>
      </c>
      <c r="I89" s="5">
        <v>45696</v>
      </c>
      <c r="J89" t="s">
        <v>16</v>
      </c>
      <c r="K89" t="s">
        <v>35</v>
      </c>
      <c r="L89" t="s">
        <v>25</v>
      </c>
      <c r="M89" s="1">
        <f>(orders[[#This Row],[Revenue]]-orders[[#This Row],[Cost]])</f>
        <v>12</v>
      </c>
      <c r="N89" s="8">
        <f>IFERROR(orders[[#This Row],[profit]]/orders[[#This Row],[Revenue]],0)</f>
        <v>0.66666666666666663</v>
      </c>
      <c r="O89">
        <f>IF(orders[[#This Row],[Delivery Date]]="","",(orders[[#This Row],[Delivery Date]]-orders[[#This Row],[Date]]))</f>
        <v>4</v>
      </c>
      <c r="P89" t="str">
        <f>IF(orders[[#This Row],[delivery days]]="","Not Delivered",IF(orders[[#This Row],[delivery days]]&lt;=2,"Fast",IF(orders[[#This Row],[delivery days]]&lt;=5,"Normal","Delayed")))</f>
        <v>Normal</v>
      </c>
    </row>
    <row r="90" spans="1:16" x14ac:dyDescent="0.25">
      <c r="A90" t="s">
        <v>201</v>
      </c>
      <c r="B90" s="5">
        <v>45693</v>
      </c>
      <c r="C90" t="s">
        <v>75</v>
      </c>
      <c r="D90" t="s">
        <v>100</v>
      </c>
      <c r="E90" t="s">
        <v>34</v>
      </c>
      <c r="F90">
        <v>1</v>
      </c>
      <c r="G90" s="1">
        <v>52</v>
      </c>
      <c r="H90" s="1">
        <v>23</v>
      </c>
      <c r="I90" s="5">
        <v>45698</v>
      </c>
      <c r="J90" t="s">
        <v>101</v>
      </c>
      <c r="K90" t="s">
        <v>35</v>
      </c>
      <c r="L90" t="s">
        <v>18</v>
      </c>
      <c r="M90" s="1">
        <f>(orders[[#This Row],[Revenue]]-orders[[#This Row],[Cost]])</f>
        <v>29</v>
      </c>
      <c r="N90" s="8">
        <f>IFERROR(orders[[#This Row],[profit]]/orders[[#This Row],[Revenue]],0)</f>
        <v>0.55769230769230771</v>
      </c>
      <c r="O90">
        <f>IF(orders[[#This Row],[Delivery Date]]="","",(orders[[#This Row],[Delivery Date]]-orders[[#This Row],[Date]]))</f>
        <v>5</v>
      </c>
      <c r="P90" t="str">
        <f>IF(orders[[#This Row],[delivery days]]="","Not Delivered",IF(orders[[#This Row],[delivery days]]&lt;=2,"Fast",IF(orders[[#This Row],[delivery days]]&lt;=5,"Normal","Delayed")))</f>
        <v>Normal</v>
      </c>
    </row>
    <row r="91" spans="1:16" x14ac:dyDescent="0.25">
      <c r="A91" t="s">
        <v>202</v>
      </c>
      <c r="B91" s="5">
        <v>45693</v>
      </c>
      <c r="C91" t="s">
        <v>181</v>
      </c>
      <c r="D91" t="s">
        <v>153</v>
      </c>
      <c r="E91" t="s">
        <v>34</v>
      </c>
      <c r="F91">
        <v>1</v>
      </c>
      <c r="G91" s="1">
        <v>68</v>
      </c>
      <c r="H91" s="1">
        <v>31.36</v>
      </c>
      <c r="I91" s="5">
        <v>45698</v>
      </c>
      <c r="J91" t="s">
        <v>101</v>
      </c>
      <c r="K91" t="s">
        <v>35</v>
      </c>
      <c r="L91" t="s">
        <v>25</v>
      </c>
      <c r="M91" s="1">
        <f>(orders[[#This Row],[Revenue]]-orders[[#This Row],[Cost]])</f>
        <v>36.64</v>
      </c>
      <c r="N91" s="8">
        <f>IFERROR(orders[[#This Row],[profit]]/orders[[#This Row],[Revenue]],0)</f>
        <v>0.5388235294117647</v>
      </c>
      <c r="O91">
        <f>IF(orders[[#This Row],[Delivery Date]]="","",(orders[[#This Row],[Delivery Date]]-orders[[#This Row],[Date]]))</f>
        <v>5</v>
      </c>
      <c r="P91" t="str">
        <f>IF(orders[[#This Row],[delivery days]]="","Not Delivered",IF(orders[[#This Row],[delivery days]]&lt;=2,"Fast",IF(orders[[#This Row],[delivery days]]&lt;=5,"Normal","Delayed")))</f>
        <v>Normal</v>
      </c>
    </row>
    <row r="92" spans="1:16" x14ac:dyDescent="0.25">
      <c r="A92" t="s">
        <v>203</v>
      </c>
      <c r="B92" s="5">
        <v>45694</v>
      </c>
      <c r="C92" t="s">
        <v>204</v>
      </c>
      <c r="D92" t="s">
        <v>129</v>
      </c>
      <c r="E92" t="s">
        <v>39</v>
      </c>
      <c r="F92">
        <v>2</v>
      </c>
      <c r="G92" s="1">
        <v>240</v>
      </c>
      <c r="H92" s="1">
        <v>138.72</v>
      </c>
      <c r="I92" s="5">
        <v>45701</v>
      </c>
      <c r="J92" t="s">
        <v>52</v>
      </c>
      <c r="K92" t="s">
        <v>24</v>
      </c>
      <c r="L92" t="s">
        <v>25</v>
      </c>
      <c r="M92" s="1">
        <f>(orders[[#This Row],[Revenue]]-orders[[#This Row],[Cost]])</f>
        <v>101.28</v>
      </c>
      <c r="N92" s="8">
        <f>IFERROR(orders[[#This Row],[profit]]/orders[[#This Row],[Revenue]],0)</f>
        <v>0.42199999999999999</v>
      </c>
      <c r="O92">
        <f>IF(orders[[#This Row],[Delivery Date]]="","",(orders[[#This Row],[Delivery Date]]-orders[[#This Row],[Date]]))</f>
        <v>7</v>
      </c>
      <c r="P92" t="str">
        <f>IF(orders[[#This Row],[delivery days]]="","Not Delivered",IF(orders[[#This Row],[delivery days]]&lt;=2,"Fast",IF(orders[[#This Row],[delivery days]]&lt;=5,"Normal","Delayed")))</f>
        <v>Delayed</v>
      </c>
    </row>
    <row r="93" spans="1:16" x14ac:dyDescent="0.25">
      <c r="A93" t="s">
        <v>205</v>
      </c>
      <c r="B93" s="5">
        <v>45694</v>
      </c>
      <c r="C93" t="s">
        <v>57</v>
      </c>
      <c r="D93" t="s">
        <v>21</v>
      </c>
      <c r="E93" t="s">
        <v>22</v>
      </c>
      <c r="F93">
        <v>2</v>
      </c>
      <c r="G93" s="1">
        <v>65.92</v>
      </c>
      <c r="H93" s="1">
        <v>26</v>
      </c>
      <c r="I93" s="5">
        <v>45695</v>
      </c>
      <c r="J93" t="s">
        <v>30</v>
      </c>
      <c r="K93" t="s">
        <v>35</v>
      </c>
      <c r="L93" t="s">
        <v>25</v>
      </c>
      <c r="M93" s="1">
        <f>(orders[[#This Row],[Revenue]]-orders[[#This Row],[Cost]])</f>
        <v>39.92</v>
      </c>
      <c r="N93" s="8">
        <f>IFERROR(orders[[#This Row],[profit]]/orders[[#This Row],[Revenue]],0)</f>
        <v>0.60558252427184467</v>
      </c>
      <c r="O93">
        <f>IF(orders[[#This Row],[Delivery Date]]="","",(orders[[#This Row],[Delivery Date]]-orders[[#This Row],[Date]]))</f>
        <v>1</v>
      </c>
      <c r="P93" t="str">
        <f>IF(orders[[#This Row],[delivery days]]="","Not Delivered",IF(orders[[#This Row],[delivery days]]&lt;=2,"Fast",IF(orders[[#This Row],[delivery days]]&lt;=5,"Normal","Delayed")))</f>
        <v>Fast</v>
      </c>
    </row>
    <row r="94" spans="1:16" x14ac:dyDescent="0.25">
      <c r="A94" t="s">
        <v>206</v>
      </c>
      <c r="B94" s="5">
        <v>45695</v>
      </c>
      <c r="C94" t="s">
        <v>137</v>
      </c>
      <c r="D94" t="s">
        <v>76</v>
      </c>
      <c r="E94" t="s">
        <v>77</v>
      </c>
      <c r="F94">
        <v>2</v>
      </c>
      <c r="G94" s="1">
        <v>535.6</v>
      </c>
      <c r="H94" s="1">
        <v>330</v>
      </c>
      <c r="I94" s="5">
        <v>45699</v>
      </c>
      <c r="J94" t="s">
        <v>23</v>
      </c>
      <c r="K94" t="s">
        <v>24</v>
      </c>
      <c r="L94" t="s">
        <v>25</v>
      </c>
      <c r="M94" s="1">
        <f>(orders[[#This Row],[Revenue]]-orders[[#This Row],[Cost]])</f>
        <v>205.60000000000002</v>
      </c>
      <c r="N94" s="8">
        <f>IFERROR(orders[[#This Row],[profit]]/orders[[#This Row],[Revenue]],0)</f>
        <v>0.38386855862584018</v>
      </c>
      <c r="O94">
        <f>IF(orders[[#This Row],[Delivery Date]]="","",(orders[[#This Row],[Delivery Date]]-orders[[#This Row],[Date]]))</f>
        <v>4</v>
      </c>
      <c r="P94" t="str">
        <f>IF(orders[[#This Row],[delivery days]]="","Not Delivered",IF(orders[[#This Row],[delivery days]]&lt;=2,"Fast",IF(orders[[#This Row],[delivery days]]&lt;=5,"Normal","Delayed")))</f>
        <v>Normal</v>
      </c>
    </row>
    <row r="95" spans="1:16" x14ac:dyDescent="0.25">
      <c r="A95" t="s">
        <v>207</v>
      </c>
      <c r="B95" s="5">
        <v>45695</v>
      </c>
      <c r="C95" t="s">
        <v>171</v>
      </c>
      <c r="D95" t="s">
        <v>208</v>
      </c>
      <c r="E95" t="s">
        <v>15</v>
      </c>
      <c r="F95">
        <v>3</v>
      </c>
      <c r="G95" s="1">
        <v>390</v>
      </c>
      <c r="H95" s="1">
        <v>228</v>
      </c>
      <c r="I95" s="5">
        <v>45698</v>
      </c>
      <c r="J95" t="s">
        <v>30</v>
      </c>
      <c r="K95" t="s">
        <v>17</v>
      </c>
      <c r="L95" t="s">
        <v>25</v>
      </c>
      <c r="M95" s="1">
        <f>(orders[[#This Row],[Revenue]]-orders[[#This Row],[Cost]])</f>
        <v>162</v>
      </c>
      <c r="N95" s="8">
        <f>IFERROR(orders[[#This Row],[profit]]/orders[[#This Row],[Revenue]],0)</f>
        <v>0.41538461538461541</v>
      </c>
      <c r="O95">
        <f>IF(orders[[#This Row],[Delivery Date]]="","",(orders[[#This Row],[Delivery Date]]-orders[[#This Row],[Date]]))</f>
        <v>3</v>
      </c>
      <c r="P95" t="str">
        <f>IF(orders[[#This Row],[delivery days]]="","Not Delivered",IF(orders[[#This Row],[delivery days]]&lt;=2,"Fast",IF(orders[[#This Row],[delivery days]]&lt;=5,"Normal","Delayed")))</f>
        <v>Normal</v>
      </c>
    </row>
    <row r="96" spans="1:16" x14ac:dyDescent="0.25">
      <c r="A96" t="s">
        <v>209</v>
      </c>
      <c r="B96" s="5">
        <v>45696</v>
      </c>
      <c r="C96" t="s">
        <v>210</v>
      </c>
      <c r="D96" t="s">
        <v>127</v>
      </c>
      <c r="E96" t="s">
        <v>29</v>
      </c>
      <c r="F96">
        <v>2</v>
      </c>
      <c r="G96" s="1">
        <v>34.92</v>
      </c>
      <c r="H96" s="1">
        <v>12.24</v>
      </c>
      <c r="I96" s="5">
        <v>45698</v>
      </c>
      <c r="J96" t="s">
        <v>30</v>
      </c>
      <c r="K96" t="s">
        <v>35</v>
      </c>
      <c r="L96" t="s">
        <v>25</v>
      </c>
      <c r="M96" s="1">
        <f>(orders[[#This Row],[Revenue]]-orders[[#This Row],[Cost]])</f>
        <v>22.68</v>
      </c>
      <c r="N96" s="8">
        <f>IFERROR(orders[[#This Row],[profit]]/orders[[#This Row],[Revenue]],0)</f>
        <v>0.64948453608247414</v>
      </c>
      <c r="O96">
        <f>IF(orders[[#This Row],[Delivery Date]]="","",(orders[[#This Row],[Delivery Date]]-orders[[#This Row],[Date]]))</f>
        <v>2</v>
      </c>
      <c r="P96" t="str">
        <f>IF(orders[[#This Row],[delivery days]]="","Not Delivered",IF(orders[[#This Row],[delivery days]]&lt;=2,"Fast",IF(orders[[#This Row],[delivery days]]&lt;=5,"Normal","Delayed")))</f>
        <v>Fast</v>
      </c>
    </row>
    <row r="97" spans="1:16" x14ac:dyDescent="0.25">
      <c r="A97" t="s">
        <v>211</v>
      </c>
      <c r="B97" s="5">
        <v>45696</v>
      </c>
      <c r="C97" t="s">
        <v>72</v>
      </c>
      <c r="D97" t="s">
        <v>208</v>
      </c>
      <c r="E97" t="s">
        <v>15</v>
      </c>
      <c r="F97">
        <v>5</v>
      </c>
      <c r="G97" s="1">
        <v>630.5</v>
      </c>
      <c r="H97" s="1">
        <v>380</v>
      </c>
      <c r="I97" s="5"/>
      <c r="J97" t="s">
        <v>16</v>
      </c>
      <c r="K97" t="s">
        <v>35</v>
      </c>
      <c r="L97" t="s">
        <v>42</v>
      </c>
      <c r="M97" s="1">
        <f>(orders[[#This Row],[Revenue]]-orders[[#This Row],[Cost]])</f>
        <v>250.5</v>
      </c>
      <c r="N97" s="8">
        <f>IFERROR(orders[[#This Row],[profit]]/orders[[#This Row],[Revenue]],0)</f>
        <v>0.39730372720063439</v>
      </c>
      <c r="O97" t="str">
        <f>IF(orders[[#This Row],[Delivery Date]]="","",(orders[[#This Row],[Delivery Date]]-orders[[#This Row],[Date]]))</f>
        <v/>
      </c>
      <c r="P97" t="str">
        <f>IF(orders[[#This Row],[delivery days]]="","Not Delivered",IF(orders[[#This Row],[delivery days]]&lt;=2,"Fast",IF(orders[[#This Row],[delivery days]]&lt;=5,"Normal","Delayed")))</f>
        <v>Not Delivered</v>
      </c>
    </row>
    <row r="98" spans="1:16" x14ac:dyDescent="0.25">
      <c r="A98" t="s">
        <v>212</v>
      </c>
      <c r="B98" s="5">
        <v>45697</v>
      </c>
      <c r="C98" t="s">
        <v>116</v>
      </c>
      <c r="D98" t="s">
        <v>127</v>
      </c>
      <c r="E98" t="s">
        <v>29</v>
      </c>
      <c r="F98">
        <v>3</v>
      </c>
      <c r="G98" s="1">
        <v>54</v>
      </c>
      <c r="H98" s="1">
        <v>18</v>
      </c>
      <c r="I98" s="5">
        <v>45698</v>
      </c>
      <c r="J98" t="s">
        <v>30</v>
      </c>
      <c r="K98" t="s">
        <v>35</v>
      </c>
      <c r="L98" t="s">
        <v>25</v>
      </c>
      <c r="M98" s="1">
        <f>(orders[[#This Row],[Revenue]]-orders[[#This Row],[Cost]])</f>
        <v>36</v>
      </c>
      <c r="N98" s="8">
        <f>IFERROR(orders[[#This Row],[profit]]/orders[[#This Row],[Revenue]],0)</f>
        <v>0.66666666666666663</v>
      </c>
      <c r="O98">
        <f>IF(orders[[#This Row],[Delivery Date]]="","",(orders[[#This Row],[Delivery Date]]-orders[[#This Row],[Date]]))</f>
        <v>1</v>
      </c>
      <c r="P98" t="str">
        <f>IF(orders[[#This Row],[delivery days]]="","Not Delivered",IF(orders[[#This Row],[delivery days]]&lt;=2,"Fast",IF(orders[[#This Row],[delivery days]]&lt;=5,"Normal","Delayed")))</f>
        <v>Fast</v>
      </c>
    </row>
    <row r="99" spans="1:16" x14ac:dyDescent="0.25">
      <c r="A99" t="s">
        <v>213</v>
      </c>
      <c r="B99" s="5">
        <v>45697</v>
      </c>
      <c r="C99" t="s">
        <v>54</v>
      </c>
      <c r="D99" t="s">
        <v>163</v>
      </c>
      <c r="E99" t="s">
        <v>39</v>
      </c>
      <c r="F99">
        <v>5</v>
      </c>
      <c r="G99" s="1">
        <v>475</v>
      </c>
      <c r="H99" s="1">
        <v>254.8</v>
      </c>
      <c r="I99" s="5">
        <v>45700</v>
      </c>
      <c r="J99" t="s">
        <v>46</v>
      </c>
      <c r="K99" t="s">
        <v>47</v>
      </c>
      <c r="L99" t="s">
        <v>25</v>
      </c>
      <c r="M99" s="1">
        <f>(orders[[#This Row],[Revenue]]-orders[[#This Row],[Cost]])</f>
        <v>220.2</v>
      </c>
      <c r="N99" s="8">
        <f>IFERROR(orders[[#This Row],[profit]]/orders[[#This Row],[Revenue]],0)</f>
        <v>0.46357894736842103</v>
      </c>
      <c r="O99">
        <f>IF(orders[[#This Row],[Delivery Date]]="","",(orders[[#This Row],[Delivery Date]]-orders[[#This Row],[Date]]))</f>
        <v>3</v>
      </c>
      <c r="P99" t="str">
        <f>IF(orders[[#This Row],[delivery days]]="","Not Delivered",IF(orders[[#This Row],[delivery days]]&lt;=2,"Fast",IF(orders[[#This Row],[delivery days]]&lt;=5,"Normal","Delayed")))</f>
        <v>Normal</v>
      </c>
    </row>
    <row r="100" spans="1:16" x14ac:dyDescent="0.25">
      <c r="A100" t="s">
        <v>214</v>
      </c>
      <c r="B100" s="5">
        <v>45698</v>
      </c>
      <c r="C100" t="s">
        <v>92</v>
      </c>
      <c r="D100" t="s">
        <v>215</v>
      </c>
      <c r="E100" t="s">
        <v>62</v>
      </c>
      <c r="F100">
        <v>1</v>
      </c>
      <c r="G100" s="1">
        <v>220</v>
      </c>
      <c r="H100" s="1">
        <v>142</v>
      </c>
      <c r="I100" s="5">
        <v>45701</v>
      </c>
      <c r="J100" t="s">
        <v>16</v>
      </c>
      <c r="K100" t="s">
        <v>35</v>
      </c>
      <c r="L100" t="s">
        <v>25</v>
      </c>
      <c r="M100" s="1">
        <f>(orders[[#This Row],[Revenue]]-orders[[#This Row],[Cost]])</f>
        <v>78</v>
      </c>
      <c r="N100" s="8">
        <f>IFERROR(orders[[#This Row],[profit]]/orders[[#This Row],[Revenue]],0)</f>
        <v>0.35454545454545455</v>
      </c>
      <c r="O100">
        <f>IF(orders[[#This Row],[Delivery Date]]="","",(orders[[#This Row],[Delivery Date]]-orders[[#This Row],[Date]]))</f>
        <v>3</v>
      </c>
      <c r="P100" t="str">
        <f>IF(orders[[#This Row],[delivery days]]="","Not Delivered",IF(orders[[#This Row],[delivery days]]&lt;=2,"Fast",IF(orders[[#This Row],[delivery days]]&lt;=5,"Normal","Delayed")))</f>
        <v>Normal</v>
      </c>
    </row>
    <row r="101" spans="1:16" x14ac:dyDescent="0.25">
      <c r="A101" t="s">
        <v>216</v>
      </c>
      <c r="B101" s="5">
        <v>45699</v>
      </c>
      <c r="C101" t="s">
        <v>217</v>
      </c>
      <c r="D101" t="s">
        <v>113</v>
      </c>
      <c r="E101" t="s">
        <v>15</v>
      </c>
      <c r="F101">
        <v>1</v>
      </c>
      <c r="G101" s="1">
        <v>102.6</v>
      </c>
      <c r="H101" s="1">
        <v>47.04</v>
      </c>
      <c r="I101" s="5">
        <v>45701</v>
      </c>
      <c r="J101" t="s">
        <v>30</v>
      </c>
      <c r="K101" t="s">
        <v>35</v>
      </c>
      <c r="L101" t="s">
        <v>25</v>
      </c>
      <c r="M101" s="1">
        <f>(orders[[#This Row],[Revenue]]-orders[[#This Row],[Cost]])</f>
        <v>55.559999999999995</v>
      </c>
      <c r="N101" s="8">
        <f>IFERROR(orders[[#This Row],[profit]]/orders[[#This Row],[Revenue]],0)</f>
        <v>0.54152046783625729</v>
      </c>
      <c r="O101">
        <f>IF(orders[[#This Row],[Delivery Date]]="","",(orders[[#This Row],[Delivery Date]]-orders[[#This Row],[Date]]))</f>
        <v>2</v>
      </c>
      <c r="P101" t="str">
        <f>IF(orders[[#This Row],[delivery days]]="","Not Delivered",IF(orders[[#This Row],[delivery days]]&lt;=2,"Fast",IF(orders[[#This Row],[delivery days]]&lt;=5,"Normal","Delayed")))</f>
        <v>Fast</v>
      </c>
    </row>
    <row r="102" spans="1:16" x14ac:dyDescent="0.25">
      <c r="A102" t="s">
        <v>218</v>
      </c>
      <c r="B102" s="5">
        <v>45699</v>
      </c>
      <c r="C102" t="s">
        <v>69</v>
      </c>
      <c r="D102" t="s">
        <v>219</v>
      </c>
      <c r="E102" t="s">
        <v>34</v>
      </c>
      <c r="F102">
        <v>2</v>
      </c>
      <c r="G102" s="1">
        <v>57.68</v>
      </c>
      <c r="H102" s="1">
        <v>22</v>
      </c>
      <c r="I102" s="5">
        <v>45705</v>
      </c>
      <c r="J102" t="s">
        <v>23</v>
      </c>
      <c r="K102" t="s">
        <v>17</v>
      </c>
      <c r="L102" t="s">
        <v>25</v>
      </c>
      <c r="M102" s="1">
        <f>(orders[[#This Row],[Revenue]]-orders[[#This Row],[Cost]])</f>
        <v>35.68</v>
      </c>
      <c r="N102" s="8">
        <f>IFERROR(orders[[#This Row],[profit]]/orders[[#This Row],[Revenue]],0)</f>
        <v>0.61858529819694863</v>
      </c>
      <c r="O102">
        <f>IF(orders[[#This Row],[Delivery Date]]="","",(orders[[#This Row],[Delivery Date]]-orders[[#This Row],[Date]]))</f>
        <v>6</v>
      </c>
      <c r="P102" t="str">
        <f>IF(orders[[#This Row],[delivery days]]="","Not Delivered",IF(orders[[#This Row],[delivery days]]&lt;=2,"Fast",IF(orders[[#This Row],[delivery days]]&lt;=5,"Normal","Delayed")))</f>
        <v>Delayed</v>
      </c>
    </row>
    <row r="103" spans="1:16" x14ac:dyDescent="0.25">
      <c r="A103" t="s">
        <v>220</v>
      </c>
      <c r="B103" s="5">
        <v>45699</v>
      </c>
      <c r="C103" t="s">
        <v>195</v>
      </c>
      <c r="D103" t="s">
        <v>187</v>
      </c>
      <c r="E103" t="s">
        <v>15</v>
      </c>
      <c r="F103">
        <v>1</v>
      </c>
      <c r="G103" s="1">
        <v>35</v>
      </c>
      <c r="H103" s="1">
        <v>16</v>
      </c>
      <c r="I103" s="5">
        <v>45704</v>
      </c>
      <c r="J103" t="s">
        <v>46</v>
      </c>
      <c r="K103" t="s">
        <v>47</v>
      </c>
      <c r="L103" t="s">
        <v>25</v>
      </c>
      <c r="M103" s="1">
        <f>(orders[[#This Row],[Revenue]]-orders[[#This Row],[Cost]])</f>
        <v>19</v>
      </c>
      <c r="N103" s="8">
        <f>IFERROR(orders[[#This Row],[profit]]/orders[[#This Row],[Revenue]],0)</f>
        <v>0.54285714285714282</v>
      </c>
      <c r="O103">
        <f>IF(orders[[#This Row],[Delivery Date]]="","",(orders[[#This Row],[Delivery Date]]-orders[[#This Row],[Date]]))</f>
        <v>5</v>
      </c>
      <c r="P103" t="str">
        <f>IF(orders[[#This Row],[delivery days]]="","Not Delivered",IF(orders[[#This Row],[delivery days]]&lt;=2,"Fast",IF(orders[[#This Row],[delivery days]]&lt;=5,"Normal","Delayed")))</f>
        <v>Normal</v>
      </c>
    </row>
    <row r="104" spans="1:16" x14ac:dyDescent="0.25">
      <c r="A104" t="s">
        <v>221</v>
      </c>
      <c r="B104" s="5">
        <v>45699</v>
      </c>
      <c r="C104" t="s">
        <v>222</v>
      </c>
      <c r="D104" t="s">
        <v>100</v>
      </c>
      <c r="E104" t="s">
        <v>34</v>
      </c>
      <c r="F104">
        <v>1</v>
      </c>
      <c r="G104" s="1">
        <v>53.56</v>
      </c>
      <c r="H104" s="1">
        <v>23</v>
      </c>
      <c r="I104" s="5">
        <v>45702</v>
      </c>
      <c r="J104" t="s">
        <v>52</v>
      </c>
      <c r="K104" t="s">
        <v>47</v>
      </c>
      <c r="L104" t="s">
        <v>25</v>
      </c>
      <c r="M104" s="1">
        <f>(orders[[#This Row],[Revenue]]-orders[[#This Row],[Cost]])</f>
        <v>30.560000000000002</v>
      </c>
      <c r="N104" s="8">
        <f>IFERROR(orders[[#This Row],[profit]]/orders[[#This Row],[Revenue]],0)</f>
        <v>0.57057505601194924</v>
      </c>
      <c r="O104">
        <f>IF(orders[[#This Row],[Delivery Date]]="","",(orders[[#This Row],[Delivery Date]]-orders[[#This Row],[Date]]))</f>
        <v>3</v>
      </c>
      <c r="P104" t="str">
        <f>IF(orders[[#This Row],[delivery days]]="","Not Delivered",IF(orders[[#This Row],[delivery days]]&lt;=2,"Fast",IF(orders[[#This Row],[delivery days]]&lt;=5,"Normal","Delayed")))</f>
        <v>Normal</v>
      </c>
    </row>
    <row r="105" spans="1:16" x14ac:dyDescent="0.25">
      <c r="A105" t="s">
        <v>223</v>
      </c>
      <c r="B105" s="5">
        <v>45699</v>
      </c>
      <c r="C105" t="s">
        <v>57</v>
      </c>
      <c r="D105" t="s">
        <v>224</v>
      </c>
      <c r="E105" t="s">
        <v>77</v>
      </c>
      <c r="F105">
        <v>3</v>
      </c>
      <c r="G105" s="1">
        <v>405</v>
      </c>
      <c r="H105" s="1">
        <v>205.02</v>
      </c>
      <c r="I105" s="5"/>
      <c r="J105" t="s">
        <v>30</v>
      </c>
      <c r="K105" t="s">
        <v>35</v>
      </c>
      <c r="L105" t="s">
        <v>42</v>
      </c>
      <c r="M105" s="1">
        <f>(orders[[#This Row],[Revenue]]-orders[[#This Row],[Cost]])</f>
        <v>199.98</v>
      </c>
      <c r="N105" s="8">
        <f>IFERROR(orders[[#This Row],[profit]]/orders[[#This Row],[Revenue]],0)</f>
        <v>0.49377777777777776</v>
      </c>
      <c r="O105" t="str">
        <f>IF(orders[[#This Row],[Delivery Date]]="","",(orders[[#This Row],[Delivery Date]]-orders[[#This Row],[Date]]))</f>
        <v/>
      </c>
      <c r="P105" t="str">
        <f>IF(orders[[#This Row],[delivery days]]="","Not Delivered",IF(orders[[#This Row],[delivery days]]&lt;=2,"Fast",IF(orders[[#This Row],[delivery days]]&lt;=5,"Normal","Delayed")))</f>
        <v>Not Delivered</v>
      </c>
    </row>
    <row r="106" spans="1:16" x14ac:dyDescent="0.25">
      <c r="A106" t="s">
        <v>225</v>
      </c>
      <c r="B106" s="5">
        <v>45699</v>
      </c>
      <c r="C106" t="s">
        <v>54</v>
      </c>
      <c r="D106" t="s">
        <v>208</v>
      </c>
      <c r="E106" t="s">
        <v>15</v>
      </c>
      <c r="F106">
        <v>3</v>
      </c>
      <c r="G106" s="1">
        <v>358.8</v>
      </c>
      <c r="H106" s="1">
        <v>232.56</v>
      </c>
      <c r="I106" s="5">
        <v>45703</v>
      </c>
      <c r="J106" t="s">
        <v>46</v>
      </c>
      <c r="K106" t="s">
        <v>47</v>
      </c>
      <c r="L106" t="s">
        <v>25</v>
      </c>
      <c r="M106" s="1">
        <f>(orders[[#This Row],[Revenue]]-orders[[#This Row],[Cost]])</f>
        <v>126.24000000000001</v>
      </c>
      <c r="N106" s="8">
        <f>IFERROR(orders[[#This Row],[profit]]/orders[[#This Row],[Revenue]],0)</f>
        <v>0.35183946488294315</v>
      </c>
      <c r="O106">
        <f>IF(orders[[#This Row],[Delivery Date]]="","",(orders[[#This Row],[Delivery Date]]-orders[[#This Row],[Date]]))</f>
        <v>4</v>
      </c>
      <c r="P106" t="str">
        <f>IF(orders[[#This Row],[delivery days]]="","Not Delivered",IF(orders[[#This Row],[delivery days]]&lt;=2,"Fast",IF(orders[[#This Row],[delivery days]]&lt;=5,"Normal","Delayed")))</f>
        <v>Normal</v>
      </c>
    </row>
    <row r="107" spans="1:16" x14ac:dyDescent="0.25">
      <c r="A107" t="s">
        <v>226</v>
      </c>
      <c r="B107" s="5">
        <v>45699</v>
      </c>
      <c r="C107" t="s">
        <v>96</v>
      </c>
      <c r="D107" t="s">
        <v>108</v>
      </c>
      <c r="E107" t="s">
        <v>22</v>
      </c>
      <c r="F107">
        <v>2</v>
      </c>
      <c r="G107" s="1">
        <v>190</v>
      </c>
      <c r="H107" s="1">
        <v>84</v>
      </c>
      <c r="I107" s="5">
        <v>45704</v>
      </c>
      <c r="J107" t="s">
        <v>23</v>
      </c>
      <c r="K107" t="s">
        <v>17</v>
      </c>
      <c r="L107" t="s">
        <v>25</v>
      </c>
      <c r="M107" s="1">
        <f>(orders[[#This Row],[Revenue]]-orders[[#This Row],[Cost]])</f>
        <v>106</v>
      </c>
      <c r="N107" s="8">
        <f>IFERROR(orders[[#This Row],[profit]]/orders[[#This Row],[Revenue]],0)</f>
        <v>0.55789473684210522</v>
      </c>
      <c r="O107">
        <f>IF(orders[[#This Row],[Delivery Date]]="","",(orders[[#This Row],[Delivery Date]]-orders[[#This Row],[Date]]))</f>
        <v>5</v>
      </c>
      <c r="P107" t="str">
        <f>IF(orders[[#This Row],[delivery days]]="","Not Delivered",IF(orders[[#This Row],[delivery days]]&lt;=2,"Fast",IF(orders[[#This Row],[delivery days]]&lt;=5,"Normal","Delayed")))</f>
        <v>Normal</v>
      </c>
    </row>
    <row r="108" spans="1:16" x14ac:dyDescent="0.25">
      <c r="A108" t="s">
        <v>227</v>
      </c>
      <c r="B108" s="5">
        <v>45699</v>
      </c>
      <c r="C108" t="s">
        <v>228</v>
      </c>
      <c r="D108" t="s">
        <v>21</v>
      </c>
      <c r="E108" t="s">
        <v>22</v>
      </c>
      <c r="F108">
        <v>1</v>
      </c>
      <c r="G108" s="1">
        <v>32.96</v>
      </c>
      <c r="H108" s="1">
        <v>13</v>
      </c>
      <c r="I108" s="5">
        <v>45701</v>
      </c>
      <c r="J108" t="s">
        <v>46</v>
      </c>
      <c r="K108" t="s">
        <v>47</v>
      </c>
      <c r="L108" t="s">
        <v>25</v>
      </c>
      <c r="M108" s="1">
        <f>(orders[[#This Row],[Revenue]]-orders[[#This Row],[Cost]])</f>
        <v>19.96</v>
      </c>
      <c r="N108" s="8">
        <f>IFERROR(orders[[#This Row],[profit]]/orders[[#This Row],[Revenue]],0)</f>
        <v>0.60558252427184467</v>
      </c>
      <c r="O108">
        <f>IF(orders[[#This Row],[Delivery Date]]="","",(orders[[#This Row],[Delivery Date]]-orders[[#This Row],[Date]]))</f>
        <v>2</v>
      </c>
      <c r="P108" t="str">
        <f>IF(orders[[#This Row],[delivery days]]="","Not Delivered",IF(orders[[#This Row],[delivery days]]&lt;=2,"Fast",IF(orders[[#This Row],[delivery days]]&lt;=5,"Normal","Delayed")))</f>
        <v>Fast</v>
      </c>
    </row>
    <row r="109" spans="1:16" x14ac:dyDescent="0.25">
      <c r="A109" t="s">
        <v>229</v>
      </c>
      <c r="B109" s="5">
        <v>45700</v>
      </c>
      <c r="C109" t="s">
        <v>79</v>
      </c>
      <c r="D109" t="s">
        <v>100</v>
      </c>
      <c r="E109" t="s">
        <v>34</v>
      </c>
      <c r="F109">
        <v>2</v>
      </c>
      <c r="G109" s="1">
        <v>107.12</v>
      </c>
      <c r="H109" s="1">
        <v>46</v>
      </c>
      <c r="I109" s="5"/>
      <c r="J109" t="s">
        <v>46</v>
      </c>
      <c r="K109" t="s">
        <v>24</v>
      </c>
      <c r="L109" t="s">
        <v>42</v>
      </c>
      <c r="M109" s="1">
        <f>(orders[[#This Row],[Revenue]]-orders[[#This Row],[Cost]])</f>
        <v>61.120000000000005</v>
      </c>
      <c r="N109" s="8">
        <f>IFERROR(orders[[#This Row],[profit]]/orders[[#This Row],[Revenue]],0)</f>
        <v>0.57057505601194924</v>
      </c>
      <c r="O109" t="str">
        <f>IF(orders[[#This Row],[Delivery Date]]="","",(orders[[#This Row],[Delivery Date]]-orders[[#This Row],[Date]]))</f>
        <v/>
      </c>
      <c r="P109" t="str">
        <f>IF(orders[[#This Row],[delivery days]]="","Not Delivered",IF(orders[[#This Row],[delivery days]]&lt;=2,"Fast",IF(orders[[#This Row],[delivery days]]&lt;=5,"Normal","Delayed")))</f>
        <v>Not Delivered</v>
      </c>
    </row>
    <row r="110" spans="1:16" x14ac:dyDescent="0.25">
      <c r="A110" t="s">
        <v>230</v>
      </c>
      <c r="B110" s="5">
        <v>45701</v>
      </c>
      <c r="C110" t="s">
        <v>94</v>
      </c>
      <c r="D110" t="s">
        <v>28</v>
      </c>
      <c r="E110" t="s">
        <v>29</v>
      </c>
      <c r="F110">
        <v>2</v>
      </c>
      <c r="G110" s="1">
        <v>48</v>
      </c>
      <c r="H110" s="1">
        <v>18.36</v>
      </c>
      <c r="I110" s="5">
        <v>45702</v>
      </c>
      <c r="J110" t="s">
        <v>30</v>
      </c>
      <c r="K110" t="s">
        <v>35</v>
      </c>
      <c r="L110" t="s">
        <v>25</v>
      </c>
      <c r="M110" s="1">
        <f>(orders[[#This Row],[Revenue]]-orders[[#This Row],[Cost]])</f>
        <v>29.64</v>
      </c>
      <c r="N110" s="8">
        <f>IFERROR(orders[[#This Row],[profit]]/orders[[#This Row],[Revenue]],0)</f>
        <v>0.61750000000000005</v>
      </c>
      <c r="O110">
        <f>IF(orders[[#This Row],[Delivery Date]]="","",(orders[[#This Row],[Delivery Date]]-orders[[#This Row],[Date]]))</f>
        <v>1</v>
      </c>
      <c r="P110" t="str">
        <f>IF(orders[[#This Row],[delivery days]]="","Not Delivered",IF(orders[[#This Row],[delivery days]]&lt;=2,"Fast",IF(orders[[#This Row],[delivery days]]&lt;=5,"Normal","Delayed")))</f>
        <v>Fast</v>
      </c>
    </row>
    <row r="111" spans="1:16" x14ac:dyDescent="0.25">
      <c r="A111" t="s">
        <v>231</v>
      </c>
      <c r="B111" s="5">
        <v>45701</v>
      </c>
      <c r="C111" t="s">
        <v>121</v>
      </c>
      <c r="D111" t="s">
        <v>97</v>
      </c>
      <c r="E111" t="s">
        <v>39</v>
      </c>
      <c r="F111">
        <v>3</v>
      </c>
      <c r="G111" s="1">
        <v>1076.4000000000001</v>
      </c>
      <c r="H111" s="1">
        <v>780</v>
      </c>
      <c r="I111" s="5">
        <v>45703</v>
      </c>
      <c r="J111" t="s">
        <v>16</v>
      </c>
      <c r="K111" t="s">
        <v>35</v>
      </c>
      <c r="L111" t="s">
        <v>25</v>
      </c>
      <c r="M111" s="1">
        <f>(orders[[#This Row],[Revenue]]-orders[[#This Row],[Cost]])</f>
        <v>296.40000000000009</v>
      </c>
      <c r="N111" s="8">
        <f>IFERROR(orders[[#This Row],[profit]]/orders[[#This Row],[Revenue]],0)</f>
        <v>0.27536231884057977</v>
      </c>
      <c r="O111">
        <f>IF(orders[[#This Row],[Delivery Date]]="","",(orders[[#This Row],[Delivery Date]]-orders[[#This Row],[Date]]))</f>
        <v>2</v>
      </c>
      <c r="P111" t="str">
        <f>IF(orders[[#This Row],[delivery days]]="","Not Delivered",IF(orders[[#This Row],[delivery days]]&lt;=2,"Fast",IF(orders[[#This Row],[delivery days]]&lt;=5,"Normal","Delayed")))</f>
        <v>Fast</v>
      </c>
    </row>
    <row r="112" spans="1:16" x14ac:dyDescent="0.25">
      <c r="A112" t="s">
        <v>232</v>
      </c>
      <c r="B112" s="5">
        <v>45701</v>
      </c>
      <c r="C112" t="s">
        <v>69</v>
      </c>
      <c r="D112" t="s">
        <v>177</v>
      </c>
      <c r="E112" t="s">
        <v>34</v>
      </c>
      <c r="F112">
        <v>1</v>
      </c>
      <c r="G112" s="1">
        <v>145</v>
      </c>
      <c r="H112" s="1">
        <v>76.44</v>
      </c>
      <c r="I112" s="5">
        <v>45703</v>
      </c>
      <c r="J112" t="s">
        <v>46</v>
      </c>
      <c r="K112" t="s">
        <v>47</v>
      </c>
      <c r="L112" t="s">
        <v>25</v>
      </c>
      <c r="M112" s="1">
        <f>(orders[[#This Row],[Revenue]]-orders[[#This Row],[Cost]])</f>
        <v>68.56</v>
      </c>
      <c r="N112" s="8">
        <f>IFERROR(orders[[#This Row],[profit]]/orders[[#This Row],[Revenue]],0)</f>
        <v>0.47282758620689658</v>
      </c>
      <c r="O112">
        <f>IF(orders[[#This Row],[Delivery Date]]="","",(orders[[#This Row],[Delivery Date]]-orders[[#This Row],[Date]]))</f>
        <v>2</v>
      </c>
      <c r="P112" t="str">
        <f>IF(orders[[#This Row],[delivery days]]="","Not Delivered",IF(orders[[#This Row],[delivery days]]&lt;=2,"Fast",IF(orders[[#This Row],[delivery days]]&lt;=5,"Normal","Delayed")))</f>
        <v>Fast</v>
      </c>
    </row>
    <row r="113" spans="1:16" x14ac:dyDescent="0.25">
      <c r="A113" t="s">
        <v>233</v>
      </c>
      <c r="B113" s="5">
        <v>45702</v>
      </c>
      <c r="C113" t="s">
        <v>184</v>
      </c>
      <c r="D113" t="s">
        <v>51</v>
      </c>
      <c r="E113" t="s">
        <v>34</v>
      </c>
      <c r="F113">
        <v>3</v>
      </c>
      <c r="G113" s="1">
        <v>275.39999999999998</v>
      </c>
      <c r="H113" s="1">
        <v>126</v>
      </c>
      <c r="I113" s="5">
        <v>45705</v>
      </c>
      <c r="J113" t="s">
        <v>101</v>
      </c>
      <c r="K113" t="s">
        <v>35</v>
      </c>
      <c r="L113" t="s">
        <v>25</v>
      </c>
      <c r="M113" s="1">
        <f>(orders[[#This Row],[Revenue]]-orders[[#This Row],[Cost]])</f>
        <v>149.39999999999998</v>
      </c>
      <c r="N113" s="8">
        <f>IFERROR(orders[[#This Row],[profit]]/orders[[#This Row],[Revenue]],0)</f>
        <v>0.54248366013071891</v>
      </c>
      <c r="O113">
        <f>IF(orders[[#This Row],[Delivery Date]]="","",(orders[[#This Row],[Delivery Date]]-orders[[#This Row],[Date]]))</f>
        <v>3</v>
      </c>
      <c r="P113" t="str">
        <f>IF(orders[[#This Row],[delivery days]]="","Not Delivered",IF(orders[[#This Row],[delivery days]]&lt;=2,"Fast",IF(orders[[#This Row],[delivery days]]&lt;=5,"Normal","Delayed")))</f>
        <v>Normal</v>
      </c>
    </row>
    <row r="114" spans="1:16" x14ac:dyDescent="0.25">
      <c r="A114" t="s">
        <v>234</v>
      </c>
      <c r="B114" s="5">
        <v>45702</v>
      </c>
      <c r="C114" t="s">
        <v>64</v>
      </c>
      <c r="D114" t="s">
        <v>235</v>
      </c>
      <c r="E114" t="s">
        <v>15</v>
      </c>
      <c r="F114">
        <v>5</v>
      </c>
      <c r="G114" s="1">
        <v>325</v>
      </c>
      <c r="H114" s="1">
        <v>155</v>
      </c>
      <c r="I114" s="5">
        <v>45706</v>
      </c>
      <c r="J114" t="s">
        <v>46</v>
      </c>
      <c r="K114" t="s">
        <v>47</v>
      </c>
      <c r="L114" t="s">
        <v>25</v>
      </c>
      <c r="M114" s="1">
        <f>(orders[[#This Row],[Revenue]]-orders[[#This Row],[Cost]])</f>
        <v>170</v>
      </c>
      <c r="N114" s="8">
        <f>IFERROR(orders[[#This Row],[profit]]/orders[[#This Row],[Revenue]],0)</f>
        <v>0.52307692307692311</v>
      </c>
      <c r="O114">
        <f>IF(orders[[#This Row],[Delivery Date]]="","",(orders[[#This Row],[Delivery Date]]-orders[[#This Row],[Date]]))</f>
        <v>4</v>
      </c>
      <c r="P114" t="str">
        <f>IF(orders[[#This Row],[delivery days]]="","Not Delivered",IF(orders[[#This Row],[delivery days]]&lt;=2,"Fast",IF(orders[[#This Row],[delivery days]]&lt;=5,"Normal","Delayed")))</f>
        <v>Normal</v>
      </c>
    </row>
    <row r="115" spans="1:16" x14ac:dyDescent="0.25">
      <c r="A115" t="s">
        <v>236</v>
      </c>
      <c r="B115" s="5">
        <v>45702</v>
      </c>
      <c r="C115" t="s">
        <v>79</v>
      </c>
      <c r="D115" t="s">
        <v>28</v>
      </c>
      <c r="E115" t="s">
        <v>29</v>
      </c>
      <c r="F115">
        <v>5</v>
      </c>
      <c r="G115" s="1">
        <v>110.4</v>
      </c>
      <c r="H115" s="1">
        <v>45</v>
      </c>
      <c r="I115" s="5">
        <v>45707</v>
      </c>
      <c r="J115" t="s">
        <v>16</v>
      </c>
      <c r="K115" t="s">
        <v>17</v>
      </c>
      <c r="L115" t="s">
        <v>25</v>
      </c>
      <c r="M115" s="1">
        <f>(orders[[#This Row],[Revenue]]-orders[[#This Row],[Cost]])</f>
        <v>65.400000000000006</v>
      </c>
      <c r="N115" s="8">
        <f>IFERROR(orders[[#This Row],[profit]]/orders[[#This Row],[Revenue]],0)</f>
        <v>0.59239130434782605</v>
      </c>
      <c r="O115">
        <f>IF(orders[[#This Row],[Delivery Date]]="","",(orders[[#This Row],[Delivery Date]]-orders[[#This Row],[Date]]))</f>
        <v>5</v>
      </c>
      <c r="P115" t="str">
        <f>IF(orders[[#This Row],[delivery days]]="","Not Delivered",IF(orders[[#This Row],[delivery days]]&lt;=2,"Fast",IF(orders[[#This Row],[delivery days]]&lt;=5,"Normal","Delayed")))</f>
        <v>Normal</v>
      </c>
    </row>
    <row r="116" spans="1:16" x14ac:dyDescent="0.25">
      <c r="A116" t="s">
        <v>237</v>
      </c>
      <c r="B116" s="5">
        <v>45702</v>
      </c>
      <c r="C116" t="s">
        <v>82</v>
      </c>
      <c r="D116" t="s">
        <v>83</v>
      </c>
      <c r="E116" t="s">
        <v>15</v>
      </c>
      <c r="F116">
        <v>4</v>
      </c>
      <c r="G116" s="1">
        <v>276</v>
      </c>
      <c r="H116" s="1">
        <v>156</v>
      </c>
      <c r="I116" s="5">
        <v>45705</v>
      </c>
      <c r="J116" t="s">
        <v>16</v>
      </c>
      <c r="K116" t="s">
        <v>17</v>
      </c>
      <c r="L116" t="s">
        <v>25</v>
      </c>
      <c r="M116" s="1">
        <f>(orders[[#This Row],[Revenue]]-orders[[#This Row],[Cost]])</f>
        <v>120</v>
      </c>
      <c r="N116" s="8">
        <f>IFERROR(orders[[#This Row],[profit]]/orders[[#This Row],[Revenue]],0)</f>
        <v>0.43478260869565216</v>
      </c>
      <c r="O116">
        <f>IF(orders[[#This Row],[Delivery Date]]="","",(orders[[#This Row],[Delivery Date]]-orders[[#This Row],[Date]]))</f>
        <v>3</v>
      </c>
      <c r="P116" t="str">
        <f>IF(orders[[#This Row],[delivery days]]="","Not Delivered",IF(orders[[#This Row],[delivery days]]&lt;=2,"Fast",IF(orders[[#This Row],[delivery days]]&lt;=5,"Normal","Delayed")))</f>
        <v>Normal</v>
      </c>
    </row>
    <row r="117" spans="1:16" x14ac:dyDescent="0.25">
      <c r="A117" t="s">
        <v>238</v>
      </c>
      <c r="B117" s="5">
        <v>45703</v>
      </c>
      <c r="C117" t="s">
        <v>132</v>
      </c>
      <c r="D117" t="s">
        <v>55</v>
      </c>
      <c r="E117" t="s">
        <v>39</v>
      </c>
      <c r="F117">
        <v>1</v>
      </c>
      <c r="G117" s="1">
        <v>386.4</v>
      </c>
      <c r="H117" s="1">
        <v>275</v>
      </c>
      <c r="I117" s="5">
        <v>45707</v>
      </c>
      <c r="J117" t="s">
        <v>101</v>
      </c>
      <c r="K117" t="s">
        <v>47</v>
      </c>
      <c r="L117" t="s">
        <v>25</v>
      </c>
      <c r="M117" s="1">
        <f>(orders[[#This Row],[Revenue]]-orders[[#This Row],[Cost]])</f>
        <v>111.39999999999998</v>
      </c>
      <c r="N117" s="8">
        <f>IFERROR(orders[[#This Row],[profit]]/orders[[#This Row],[Revenue]],0)</f>
        <v>0.2883022774327122</v>
      </c>
      <c r="O117">
        <f>IF(orders[[#This Row],[Delivery Date]]="","",(orders[[#This Row],[Delivery Date]]-orders[[#This Row],[Date]]))</f>
        <v>4</v>
      </c>
      <c r="P117" t="str">
        <f>IF(orders[[#This Row],[delivery days]]="","Not Delivered",IF(orders[[#This Row],[delivery days]]&lt;=2,"Fast",IF(orders[[#This Row],[delivery days]]&lt;=5,"Normal","Delayed")))</f>
        <v>Normal</v>
      </c>
    </row>
    <row r="118" spans="1:16" x14ac:dyDescent="0.25">
      <c r="A118" t="s">
        <v>239</v>
      </c>
      <c r="B118" s="5">
        <v>45705</v>
      </c>
      <c r="C118" t="s">
        <v>112</v>
      </c>
      <c r="D118" t="s">
        <v>55</v>
      </c>
      <c r="E118" t="s">
        <v>39</v>
      </c>
      <c r="F118">
        <v>1</v>
      </c>
      <c r="G118" s="1">
        <v>420</v>
      </c>
      <c r="H118" s="1">
        <v>275</v>
      </c>
      <c r="I118" s="5">
        <v>45708</v>
      </c>
      <c r="J118" t="s">
        <v>30</v>
      </c>
      <c r="K118" t="s">
        <v>17</v>
      </c>
      <c r="L118" t="s">
        <v>25</v>
      </c>
      <c r="M118" s="1">
        <f>(orders[[#This Row],[Revenue]]-orders[[#This Row],[Cost]])</f>
        <v>145</v>
      </c>
      <c r="N118" s="8">
        <f>IFERROR(orders[[#This Row],[profit]]/orders[[#This Row],[Revenue]],0)</f>
        <v>0.34523809523809523</v>
      </c>
      <c r="O118">
        <f>IF(orders[[#This Row],[Delivery Date]]="","",(orders[[#This Row],[Delivery Date]]-orders[[#This Row],[Date]]))</f>
        <v>3</v>
      </c>
      <c r="P118" t="str">
        <f>IF(orders[[#This Row],[delivery days]]="","Not Delivered",IF(orders[[#This Row],[delivery days]]&lt;=2,"Fast",IF(orders[[#This Row],[delivery days]]&lt;=5,"Normal","Delayed")))</f>
        <v>Normal</v>
      </c>
    </row>
    <row r="119" spans="1:16" x14ac:dyDescent="0.25">
      <c r="A119" t="s">
        <v>240</v>
      </c>
      <c r="B119" s="5">
        <v>45705</v>
      </c>
      <c r="C119" t="s">
        <v>174</v>
      </c>
      <c r="D119" t="s">
        <v>179</v>
      </c>
      <c r="E119" t="s">
        <v>34</v>
      </c>
      <c r="F119">
        <v>1</v>
      </c>
      <c r="G119" s="1">
        <v>41.4</v>
      </c>
      <c r="H119" s="1">
        <v>19</v>
      </c>
      <c r="I119" s="5">
        <v>45708</v>
      </c>
      <c r="J119" t="s">
        <v>16</v>
      </c>
      <c r="K119" t="s">
        <v>35</v>
      </c>
      <c r="L119" t="s">
        <v>25</v>
      </c>
      <c r="M119" s="1">
        <f>(orders[[#This Row],[Revenue]]-orders[[#This Row],[Cost]])</f>
        <v>22.4</v>
      </c>
      <c r="N119" s="8">
        <f>IFERROR(orders[[#This Row],[profit]]/orders[[#This Row],[Revenue]],0)</f>
        <v>0.54106280193236711</v>
      </c>
      <c r="O119">
        <f>IF(orders[[#This Row],[Delivery Date]]="","",(orders[[#This Row],[Delivery Date]]-orders[[#This Row],[Date]]))</f>
        <v>3</v>
      </c>
      <c r="P119" t="str">
        <f>IF(orders[[#This Row],[delivery days]]="","Not Delivered",IF(orders[[#This Row],[delivery days]]&lt;=2,"Fast",IF(orders[[#This Row],[delivery days]]&lt;=5,"Normal","Delayed")))</f>
        <v>Normal</v>
      </c>
    </row>
    <row r="120" spans="1:16" x14ac:dyDescent="0.25">
      <c r="A120" t="s">
        <v>241</v>
      </c>
      <c r="B120" s="5">
        <v>45705</v>
      </c>
      <c r="C120" t="s">
        <v>44</v>
      </c>
      <c r="D120" t="s">
        <v>135</v>
      </c>
      <c r="E120" t="s">
        <v>62</v>
      </c>
      <c r="F120">
        <v>2</v>
      </c>
      <c r="G120" s="1">
        <v>236.9</v>
      </c>
      <c r="H120" s="1">
        <v>126</v>
      </c>
      <c r="I120" s="5">
        <v>45708</v>
      </c>
      <c r="J120" t="s">
        <v>16</v>
      </c>
      <c r="K120" t="s">
        <v>17</v>
      </c>
      <c r="L120" t="s">
        <v>25</v>
      </c>
      <c r="M120" s="1">
        <f>(orders[[#This Row],[Revenue]]-orders[[#This Row],[Cost]])</f>
        <v>110.9</v>
      </c>
      <c r="N120" s="8">
        <f>IFERROR(orders[[#This Row],[profit]]/orders[[#This Row],[Revenue]],0)</f>
        <v>0.46813001266357113</v>
      </c>
      <c r="O120">
        <f>IF(orders[[#This Row],[Delivery Date]]="","",(orders[[#This Row],[Delivery Date]]-orders[[#This Row],[Date]]))</f>
        <v>3</v>
      </c>
      <c r="P120" t="str">
        <f>IF(orders[[#This Row],[delivery days]]="","Not Delivered",IF(orders[[#This Row],[delivery days]]&lt;=2,"Fast",IF(orders[[#This Row],[delivery days]]&lt;=5,"Normal","Delayed")))</f>
        <v>Normal</v>
      </c>
    </row>
    <row r="121" spans="1:16" x14ac:dyDescent="0.25">
      <c r="A121" t="s">
        <v>242</v>
      </c>
      <c r="B121" s="5">
        <v>45705</v>
      </c>
      <c r="C121" t="s">
        <v>243</v>
      </c>
      <c r="D121" t="s">
        <v>51</v>
      </c>
      <c r="E121" t="s">
        <v>34</v>
      </c>
      <c r="F121">
        <v>1</v>
      </c>
      <c r="G121" s="1">
        <v>85</v>
      </c>
      <c r="H121" s="1">
        <v>42</v>
      </c>
      <c r="I121" s="5">
        <v>45710</v>
      </c>
      <c r="J121" t="s">
        <v>16</v>
      </c>
      <c r="K121" t="s">
        <v>17</v>
      </c>
      <c r="L121" t="s">
        <v>25</v>
      </c>
      <c r="M121" s="1">
        <f>(orders[[#This Row],[Revenue]]-orders[[#This Row],[Cost]])</f>
        <v>43</v>
      </c>
      <c r="N121" s="8">
        <f>IFERROR(orders[[#This Row],[profit]]/orders[[#This Row],[Revenue]],0)</f>
        <v>0.50588235294117645</v>
      </c>
      <c r="O121">
        <f>IF(orders[[#This Row],[Delivery Date]]="","",(orders[[#This Row],[Delivery Date]]-orders[[#This Row],[Date]]))</f>
        <v>5</v>
      </c>
      <c r="P121" t="str">
        <f>IF(orders[[#This Row],[delivery days]]="","Not Delivered",IF(orders[[#This Row],[delivery days]]&lt;=2,"Fast",IF(orders[[#This Row],[delivery days]]&lt;=5,"Normal","Delayed")))</f>
        <v>Normal</v>
      </c>
    </row>
    <row r="122" spans="1:16" x14ac:dyDescent="0.25">
      <c r="A122" t="s">
        <v>244</v>
      </c>
      <c r="B122" s="5">
        <v>45706</v>
      </c>
      <c r="C122" t="s">
        <v>107</v>
      </c>
      <c r="D122" t="s">
        <v>150</v>
      </c>
      <c r="E122" t="s">
        <v>77</v>
      </c>
      <c r="F122">
        <v>3</v>
      </c>
      <c r="G122" s="1">
        <v>255</v>
      </c>
      <c r="H122" s="1">
        <v>132</v>
      </c>
      <c r="I122" s="5">
        <v>45707</v>
      </c>
      <c r="J122" t="s">
        <v>16</v>
      </c>
      <c r="K122" t="s">
        <v>35</v>
      </c>
      <c r="L122" t="s">
        <v>25</v>
      </c>
      <c r="M122" s="1">
        <f>(orders[[#This Row],[Revenue]]-orders[[#This Row],[Cost]])</f>
        <v>123</v>
      </c>
      <c r="N122" s="8">
        <f>IFERROR(orders[[#This Row],[profit]]/orders[[#This Row],[Revenue]],0)</f>
        <v>0.4823529411764706</v>
      </c>
      <c r="O122">
        <f>IF(orders[[#This Row],[Delivery Date]]="","",(orders[[#This Row],[Delivery Date]]-orders[[#This Row],[Date]]))</f>
        <v>1</v>
      </c>
      <c r="P122" t="str">
        <f>IF(orders[[#This Row],[delivery days]]="","Not Delivered",IF(orders[[#This Row],[delivery days]]&lt;=2,"Fast",IF(orders[[#This Row],[delivery days]]&lt;=5,"Normal","Delayed")))</f>
        <v>Fast</v>
      </c>
    </row>
    <row r="123" spans="1:16" x14ac:dyDescent="0.25">
      <c r="A123" t="s">
        <v>245</v>
      </c>
      <c r="B123" s="5">
        <v>45707</v>
      </c>
      <c r="C123" t="s">
        <v>246</v>
      </c>
      <c r="D123" t="s">
        <v>163</v>
      </c>
      <c r="E123" t="s">
        <v>39</v>
      </c>
      <c r="F123">
        <v>1</v>
      </c>
      <c r="G123" s="1">
        <v>92.15</v>
      </c>
      <c r="H123" s="1">
        <v>52</v>
      </c>
      <c r="I123" s="5">
        <v>45710</v>
      </c>
      <c r="J123" t="s">
        <v>23</v>
      </c>
      <c r="K123" t="s">
        <v>24</v>
      </c>
      <c r="L123" t="s">
        <v>25</v>
      </c>
      <c r="M123" s="1">
        <f>(orders[[#This Row],[Revenue]]-orders[[#This Row],[Cost]])</f>
        <v>40.150000000000006</v>
      </c>
      <c r="N123" s="8">
        <f>IFERROR(orders[[#This Row],[profit]]/orders[[#This Row],[Revenue]],0)</f>
        <v>0.43570265870862729</v>
      </c>
      <c r="O123">
        <f>IF(orders[[#This Row],[Delivery Date]]="","",(orders[[#This Row],[Delivery Date]]-orders[[#This Row],[Date]]))</f>
        <v>3</v>
      </c>
      <c r="P123" t="str">
        <f>IF(orders[[#This Row],[delivery days]]="","Not Delivered",IF(orders[[#This Row],[delivery days]]&lt;=2,"Fast",IF(orders[[#This Row],[delivery days]]&lt;=5,"Normal","Delayed")))</f>
        <v>Normal</v>
      </c>
    </row>
    <row r="124" spans="1:16" x14ac:dyDescent="0.25">
      <c r="A124" t="s">
        <v>247</v>
      </c>
      <c r="B124" s="5">
        <v>45707</v>
      </c>
      <c r="C124" t="s">
        <v>96</v>
      </c>
      <c r="D124" t="s">
        <v>14</v>
      </c>
      <c r="E124" t="s">
        <v>15</v>
      </c>
      <c r="F124">
        <v>2</v>
      </c>
      <c r="G124" s="1">
        <v>46</v>
      </c>
      <c r="H124" s="1">
        <v>18</v>
      </c>
      <c r="I124" s="5"/>
      <c r="J124" t="s">
        <v>30</v>
      </c>
      <c r="K124" t="s">
        <v>35</v>
      </c>
      <c r="L124" t="s">
        <v>42</v>
      </c>
      <c r="M124" s="1">
        <f>(orders[[#This Row],[Revenue]]-orders[[#This Row],[Cost]])</f>
        <v>28</v>
      </c>
      <c r="N124" s="8">
        <f>IFERROR(orders[[#This Row],[profit]]/orders[[#This Row],[Revenue]],0)</f>
        <v>0.60869565217391308</v>
      </c>
      <c r="O124" t="str">
        <f>IF(orders[[#This Row],[Delivery Date]]="","",(orders[[#This Row],[Delivery Date]]-orders[[#This Row],[Date]]))</f>
        <v/>
      </c>
      <c r="P124" t="str">
        <f>IF(orders[[#This Row],[delivery days]]="","Not Delivered",IF(orders[[#This Row],[delivery days]]&lt;=2,"Fast",IF(orders[[#This Row],[delivery days]]&lt;=5,"Normal","Delayed")))</f>
        <v>Not Delivered</v>
      </c>
    </row>
    <row r="125" spans="1:16" x14ac:dyDescent="0.25">
      <c r="A125" t="s">
        <v>248</v>
      </c>
      <c r="B125" s="5">
        <v>45707</v>
      </c>
      <c r="C125" t="s">
        <v>132</v>
      </c>
      <c r="D125" t="s">
        <v>70</v>
      </c>
      <c r="E125" t="s">
        <v>62</v>
      </c>
      <c r="F125">
        <v>2</v>
      </c>
      <c r="G125" s="1">
        <v>248.4</v>
      </c>
      <c r="H125" s="1">
        <v>156</v>
      </c>
      <c r="I125" s="5">
        <v>45709</v>
      </c>
      <c r="J125" t="s">
        <v>16</v>
      </c>
      <c r="K125" t="s">
        <v>35</v>
      </c>
      <c r="L125" t="s">
        <v>25</v>
      </c>
      <c r="M125" s="1">
        <f>(orders[[#This Row],[Revenue]]-orders[[#This Row],[Cost]])</f>
        <v>92.4</v>
      </c>
      <c r="N125" s="8">
        <f>IFERROR(orders[[#This Row],[profit]]/orders[[#This Row],[Revenue]],0)</f>
        <v>0.37198067632850246</v>
      </c>
      <c r="O125">
        <f>IF(orders[[#This Row],[Delivery Date]]="","",(orders[[#This Row],[Delivery Date]]-orders[[#This Row],[Date]]))</f>
        <v>2</v>
      </c>
      <c r="P125" t="str">
        <f>IF(orders[[#This Row],[delivery days]]="","Not Delivered",IF(orders[[#This Row],[delivery days]]&lt;=2,"Fast",IF(orders[[#This Row],[delivery days]]&lt;=5,"Normal","Delayed")))</f>
        <v>Fast</v>
      </c>
    </row>
    <row r="126" spans="1:16" x14ac:dyDescent="0.25">
      <c r="A126" t="s">
        <v>249</v>
      </c>
      <c r="B126" s="5">
        <v>45708</v>
      </c>
      <c r="C126" t="s">
        <v>155</v>
      </c>
      <c r="D126" t="s">
        <v>86</v>
      </c>
      <c r="E126" t="s">
        <v>29</v>
      </c>
      <c r="F126">
        <v>2</v>
      </c>
      <c r="G126" s="1">
        <v>59.74</v>
      </c>
      <c r="H126" s="1">
        <v>24</v>
      </c>
      <c r="I126" s="5">
        <v>45709</v>
      </c>
      <c r="J126" t="s">
        <v>30</v>
      </c>
      <c r="K126" t="s">
        <v>17</v>
      </c>
      <c r="L126" t="s">
        <v>25</v>
      </c>
      <c r="M126" s="1">
        <f>(orders[[#This Row],[Revenue]]-orders[[#This Row],[Cost]])</f>
        <v>35.74</v>
      </c>
      <c r="N126" s="8">
        <f>IFERROR(orders[[#This Row],[profit]]/orders[[#This Row],[Revenue]],0)</f>
        <v>0.59825912286575156</v>
      </c>
      <c r="O126">
        <f>IF(orders[[#This Row],[Delivery Date]]="","",(orders[[#This Row],[Delivery Date]]-orders[[#This Row],[Date]]))</f>
        <v>1</v>
      </c>
      <c r="P126" t="str">
        <f>IF(orders[[#This Row],[delivery days]]="","Not Delivered",IF(orders[[#This Row],[delivery days]]&lt;=2,"Fast",IF(orders[[#This Row],[delivery days]]&lt;=5,"Normal","Delayed")))</f>
        <v>Fast</v>
      </c>
    </row>
    <row r="127" spans="1:16" x14ac:dyDescent="0.25">
      <c r="A127" t="s">
        <v>250</v>
      </c>
      <c r="B127" s="5">
        <v>45709</v>
      </c>
      <c r="C127" t="s">
        <v>90</v>
      </c>
      <c r="D127" t="s">
        <v>38</v>
      </c>
      <c r="E127" t="s">
        <v>39</v>
      </c>
      <c r="F127">
        <v>1</v>
      </c>
      <c r="G127" s="1">
        <v>850</v>
      </c>
      <c r="H127" s="1">
        <v>622.20000000000005</v>
      </c>
      <c r="I127" s="5"/>
      <c r="J127" t="s">
        <v>52</v>
      </c>
      <c r="K127" t="s">
        <v>24</v>
      </c>
      <c r="L127" t="s">
        <v>42</v>
      </c>
      <c r="M127" s="1">
        <f>(orders[[#This Row],[Revenue]]-orders[[#This Row],[Cost]])</f>
        <v>227.79999999999995</v>
      </c>
      <c r="N127" s="8">
        <f>IFERROR(orders[[#This Row],[profit]]/orders[[#This Row],[Revenue]],0)</f>
        <v>0.26799999999999996</v>
      </c>
      <c r="O127" t="str">
        <f>IF(orders[[#This Row],[Delivery Date]]="","",(orders[[#This Row],[Delivery Date]]-orders[[#This Row],[Date]]))</f>
        <v/>
      </c>
      <c r="P127" t="str">
        <f>IF(orders[[#This Row],[delivery days]]="","Not Delivered",IF(orders[[#This Row],[delivery days]]&lt;=2,"Fast",IF(orders[[#This Row],[delivery days]]&lt;=5,"Normal","Delayed")))</f>
        <v>Not Delivered</v>
      </c>
    </row>
    <row r="128" spans="1:16" x14ac:dyDescent="0.25">
      <c r="A128" t="s">
        <v>251</v>
      </c>
      <c r="B128" s="5">
        <v>45709</v>
      </c>
      <c r="C128" t="s">
        <v>222</v>
      </c>
      <c r="D128" t="s">
        <v>127</v>
      </c>
      <c r="E128" t="s">
        <v>29</v>
      </c>
      <c r="F128">
        <v>2</v>
      </c>
      <c r="G128" s="1">
        <v>34.92</v>
      </c>
      <c r="H128" s="1">
        <v>12.24</v>
      </c>
      <c r="I128" s="5">
        <v>45710</v>
      </c>
      <c r="J128" t="s">
        <v>30</v>
      </c>
      <c r="K128" t="s">
        <v>35</v>
      </c>
      <c r="L128" t="s">
        <v>25</v>
      </c>
      <c r="M128" s="1">
        <f>(orders[[#This Row],[Revenue]]-orders[[#This Row],[Cost]])</f>
        <v>22.68</v>
      </c>
      <c r="N128" s="8">
        <f>IFERROR(orders[[#This Row],[profit]]/orders[[#This Row],[Revenue]],0)</f>
        <v>0.64948453608247414</v>
      </c>
      <c r="O128">
        <f>IF(orders[[#This Row],[Delivery Date]]="","",(orders[[#This Row],[Delivery Date]]-orders[[#This Row],[Date]]))</f>
        <v>1</v>
      </c>
      <c r="P128" t="str">
        <f>IF(orders[[#This Row],[delivery days]]="","Not Delivered",IF(orders[[#This Row],[delivery days]]&lt;=2,"Fast",IF(orders[[#This Row],[delivery days]]&lt;=5,"Normal","Delayed")))</f>
        <v>Fast</v>
      </c>
    </row>
    <row r="129" spans="1:16" x14ac:dyDescent="0.25">
      <c r="A129" t="s">
        <v>252</v>
      </c>
      <c r="B129" s="5">
        <v>45709</v>
      </c>
      <c r="C129" t="s">
        <v>99</v>
      </c>
      <c r="D129" t="s">
        <v>113</v>
      </c>
      <c r="E129" t="s">
        <v>15</v>
      </c>
      <c r="F129">
        <v>3</v>
      </c>
      <c r="G129" s="1">
        <v>307.8</v>
      </c>
      <c r="H129" s="1">
        <v>144</v>
      </c>
      <c r="I129" s="5">
        <v>45711</v>
      </c>
      <c r="J129" t="s">
        <v>30</v>
      </c>
      <c r="K129" t="s">
        <v>35</v>
      </c>
      <c r="L129" t="s">
        <v>25</v>
      </c>
      <c r="M129" s="1">
        <f>(orders[[#This Row],[Revenue]]-orders[[#This Row],[Cost]])</f>
        <v>163.80000000000001</v>
      </c>
      <c r="N129" s="8">
        <f>IFERROR(orders[[#This Row],[profit]]/orders[[#This Row],[Revenue]],0)</f>
        <v>0.53216374269005851</v>
      </c>
      <c r="O129">
        <f>IF(orders[[#This Row],[Delivery Date]]="","",(orders[[#This Row],[Delivery Date]]-orders[[#This Row],[Date]]))</f>
        <v>2</v>
      </c>
      <c r="P129" t="str">
        <f>IF(orders[[#This Row],[delivery days]]="","Not Delivered",IF(orders[[#This Row],[delivery days]]&lt;=2,"Fast",IF(orders[[#This Row],[delivery days]]&lt;=5,"Normal","Delayed")))</f>
        <v>Fast</v>
      </c>
    </row>
    <row r="130" spans="1:16" x14ac:dyDescent="0.25">
      <c r="A130" t="s">
        <v>253</v>
      </c>
      <c r="B130" s="5">
        <v>45710</v>
      </c>
      <c r="C130" t="s">
        <v>171</v>
      </c>
      <c r="D130" t="s">
        <v>108</v>
      </c>
      <c r="E130" t="s">
        <v>22</v>
      </c>
      <c r="F130">
        <v>1</v>
      </c>
      <c r="G130" s="1">
        <v>97.85</v>
      </c>
      <c r="H130" s="1">
        <v>42</v>
      </c>
      <c r="I130" s="5">
        <v>45713</v>
      </c>
      <c r="J130" t="s">
        <v>101</v>
      </c>
      <c r="K130" t="s">
        <v>47</v>
      </c>
      <c r="L130" t="s">
        <v>25</v>
      </c>
      <c r="M130" s="1">
        <f>(orders[[#This Row],[Revenue]]-orders[[#This Row],[Cost]])</f>
        <v>55.849999999999994</v>
      </c>
      <c r="N130" s="8">
        <f>IFERROR(orders[[#This Row],[profit]]/orders[[#This Row],[Revenue]],0)</f>
        <v>0.57077158916709247</v>
      </c>
      <c r="O130">
        <f>IF(orders[[#This Row],[Delivery Date]]="","",(orders[[#This Row],[Delivery Date]]-orders[[#This Row],[Date]]))</f>
        <v>3</v>
      </c>
      <c r="P130" t="str">
        <f>IF(orders[[#This Row],[delivery days]]="","Not Delivered",IF(orders[[#This Row],[delivery days]]&lt;=2,"Fast",IF(orders[[#This Row],[delivery days]]&lt;=5,"Normal","Delayed")))</f>
        <v>Normal</v>
      </c>
    </row>
    <row r="131" spans="1:16" x14ac:dyDescent="0.25">
      <c r="A131" t="s">
        <v>254</v>
      </c>
      <c r="B131" s="5">
        <v>45710</v>
      </c>
      <c r="C131" t="s">
        <v>142</v>
      </c>
      <c r="D131" t="s">
        <v>163</v>
      </c>
      <c r="E131" t="s">
        <v>39</v>
      </c>
      <c r="F131">
        <v>2</v>
      </c>
      <c r="G131" s="1">
        <v>190</v>
      </c>
      <c r="H131" s="1">
        <v>104</v>
      </c>
      <c r="I131" s="5">
        <v>45711</v>
      </c>
      <c r="J131" t="s">
        <v>30</v>
      </c>
      <c r="K131" t="s">
        <v>35</v>
      </c>
      <c r="L131" t="s">
        <v>25</v>
      </c>
      <c r="M131" s="1">
        <f>(orders[[#This Row],[Revenue]]-orders[[#This Row],[Cost]])</f>
        <v>86</v>
      </c>
      <c r="N131" s="8">
        <f>IFERROR(orders[[#This Row],[profit]]/orders[[#This Row],[Revenue]],0)</f>
        <v>0.45263157894736844</v>
      </c>
      <c r="O131">
        <f>IF(orders[[#This Row],[Delivery Date]]="","",(orders[[#This Row],[Delivery Date]]-orders[[#This Row],[Date]]))</f>
        <v>1</v>
      </c>
      <c r="P131" t="str">
        <f>IF(orders[[#This Row],[delivery days]]="","Not Delivered",IF(orders[[#This Row],[delivery days]]&lt;=2,"Fast",IF(orders[[#This Row],[delivery days]]&lt;=5,"Normal","Delayed")))</f>
        <v>Fast</v>
      </c>
    </row>
    <row r="132" spans="1:16" x14ac:dyDescent="0.25">
      <c r="A132" t="s">
        <v>255</v>
      </c>
      <c r="B132" s="5">
        <v>45710</v>
      </c>
      <c r="C132" t="s">
        <v>161</v>
      </c>
      <c r="D132" t="s">
        <v>215</v>
      </c>
      <c r="E132" t="s">
        <v>62</v>
      </c>
      <c r="F132">
        <v>1</v>
      </c>
      <c r="G132" s="1">
        <v>226.6</v>
      </c>
      <c r="H132" s="1">
        <v>144.84</v>
      </c>
      <c r="I132" s="5">
        <v>45711</v>
      </c>
      <c r="J132" t="s">
        <v>23</v>
      </c>
      <c r="K132" t="s">
        <v>17</v>
      </c>
      <c r="L132" t="s">
        <v>25</v>
      </c>
      <c r="M132" s="1">
        <f>(orders[[#This Row],[Revenue]]-orders[[#This Row],[Cost]])</f>
        <v>81.759999999999991</v>
      </c>
      <c r="N132" s="8">
        <f>IFERROR(orders[[#This Row],[profit]]/orders[[#This Row],[Revenue]],0)</f>
        <v>0.36081200353045012</v>
      </c>
      <c r="O132">
        <f>IF(orders[[#This Row],[Delivery Date]]="","",(orders[[#This Row],[Delivery Date]]-orders[[#This Row],[Date]]))</f>
        <v>1</v>
      </c>
      <c r="P132" t="str">
        <f>IF(orders[[#This Row],[delivery days]]="","Not Delivered",IF(orders[[#This Row],[delivery days]]&lt;=2,"Fast",IF(orders[[#This Row],[delivery days]]&lt;=5,"Normal","Delayed")))</f>
        <v>Fast</v>
      </c>
    </row>
    <row r="133" spans="1:16" x14ac:dyDescent="0.25">
      <c r="A133" t="s">
        <v>256</v>
      </c>
      <c r="B133" s="5">
        <v>45710</v>
      </c>
      <c r="C133" t="s">
        <v>60</v>
      </c>
      <c r="D133" t="s">
        <v>224</v>
      </c>
      <c r="E133" t="s">
        <v>77</v>
      </c>
      <c r="F133">
        <v>4</v>
      </c>
      <c r="G133" s="1">
        <v>500</v>
      </c>
      <c r="H133" s="1">
        <v>262.64</v>
      </c>
      <c r="I133" s="5">
        <v>45715</v>
      </c>
      <c r="J133" t="s">
        <v>101</v>
      </c>
      <c r="K133" t="s">
        <v>47</v>
      </c>
      <c r="L133" t="s">
        <v>25</v>
      </c>
      <c r="M133" s="1">
        <f>(orders[[#This Row],[Revenue]]-orders[[#This Row],[Cost]])</f>
        <v>237.36</v>
      </c>
      <c r="N133" s="8">
        <f>IFERROR(orders[[#This Row],[profit]]/orders[[#This Row],[Revenue]],0)</f>
        <v>0.47472000000000003</v>
      </c>
      <c r="O133">
        <f>IF(orders[[#This Row],[Delivery Date]]="","",(orders[[#This Row],[Delivery Date]]-orders[[#This Row],[Date]]))</f>
        <v>5</v>
      </c>
      <c r="P133" t="str">
        <f>IF(orders[[#This Row],[delivery days]]="","Not Delivered",IF(orders[[#This Row],[delivery days]]&lt;=2,"Fast",IF(orders[[#This Row],[delivery days]]&lt;=5,"Normal","Delayed")))</f>
        <v>Normal</v>
      </c>
    </row>
    <row r="134" spans="1:16" x14ac:dyDescent="0.25">
      <c r="A134" t="s">
        <v>257</v>
      </c>
      <c r="B134" s="5">
        <v>45710</v>
      </c>
      <c r="C134" t="s">
        <v>139</v>
      </c>
      <c r="D134" t="s">
        <v>58</v>
      </c>
      <c r="E134" t="s">
        <v>39</v>
      </c>
      <c r="F134">
        <v>1</v>
      </c>
      <c r="G134" s="1">
        <v>1250</v>
      </c>
      <c r="H134" s="1">
        <v>882</v>
      </c>
      <c r="I134" s="5">
        <v>45715</v>
      </c>
      <c r="J134" t="s">
        <v>46</v>
      </c>
      <c r="K134" t="s">
        <v>24</v>
      </c>
      <c r="L134" t="s">
        <v>25</v>
      </c>
      <c r="M134" s="1">
        <f>(orders[[#This Row],[Revenue]]-orders[[#This Row],[Cost]])</f>
        <v>368</v>
      </c>
      <c r="N134" s="8">
        <f>IFERROR(orders[[#This Row],[profit]]/orders[[#This Row],[Revenue]],0)</f>
        <v>0.2944</v>
      </c>
      <c r="O134">
        <f>IF(orders[[#This Row],[Delivery Date]]="","",(orders[[#This Row],[Delivery Date]]-orders[[#This Row],[Date]]))</f>
        <v>5</v>
      </c>
      <c r="P134" t="str">
        <f>IF(orders[[#This Row],[delivery days]]="","Not Delivered",IF(orders[[#This Row],[delivery days]]&lt;=2,"Fast",IF(orders[[#This Row],[delivery days]]&lt;=5,"Normal","Delayed")))</f>
        <v>Normal</v>
      </c>
    </row>
    <row r="135" spans="1:16" x14ac:dyDescent="0.25">
      <c r="A135" t="s">
        <v>258</v>
      </c>
      <c r="B135" s="5">
        <v>45711</v>
      </c>
      <c r="C135" t="s">
        <v>259</v>
      </c>
      <c r="D135" t="s">
        <v>51</v>
      </c>
      <c r="E135" t="s">
        <v>34</v>
      </c>
      <c r="F135">
        <v>4</v>
      </c>
      <c r="G135" s="1">
        <v>340</v>
      </c>
      <c r="H135" s="1">
        <v>168</v>
      </c>
      <c r="I135" s="5">
        <v>45713</v>
      </c>
      <c r="J135" t="s">
        <v>30</v>
      </c>
      <c r="K135" t="s">
        <v>17</v>
      </c>
      <c r="L135" t="s">
        <v>25</v>
      </c>
      <c r="M135" s="1">
        <f>(orders[[#This Row],[Revenue]]-orders[[#This Row],[Cost]])</f>
        <v>172</v>
      </c>
      <c r="N135" s="8">
        <f>IFERROR(orders[[#This Row],[profit]]/orders[[#This Row],[Revenue]],0)</f>
        <v>0.50588235294117645</v>
      </c>
      <c r="O135">
        <f>IF(orders[[#This Row],[Delivery Date]]="","",(orders[[#This Row],[Delivery Date]]-orders[[#This Row],[Date]]))</f>
        <v>2</v>
      </c>
      <c r="P135" t="str">
        <f>IF(orders[[#This Row],[delivery days]]="","Not Delivered",IF(orders[[#This Row],[delivery days]]&lt;=2,"Fast",IF(orders[[#This Row],[delivery days]]&lt;=5,"Normal","Delayed")))</f>
        <v>Fast</v>
      </c>
    </row>
    <row r="136" spans="1:16" x14ac:dyDescent="0.25">
      <c r="A136" t="s">
        <v>260</v>
      </c>
      <c r="B136" s="5">
        <v>45711</v>
      </c>
      <c r="C136" t="s">
        <v>181</v>
      </c>
      <c r="D136" t="s">
        <v>38</v>
      </c>
      <c r="E136" t="s">
        <v>39</v>
      </c>
      <c r="F136">
        <v>5</v>
      </c>
      <c r="G136" s="1">
        <v>4377.5</v>
      </c>
      <c r="H136" s="1">
        <v>3111</v>
      </c>
      <c r="I136" s="5">
        <v>45714</v>
      </c>
      <c r="J136" t="s">
        <v>30</v>
      </c>
      <c r="K136" t="s">
        <v>17</v>
      </c>
      <c r="L136" t="s">
        <v>25</v>
      </c>
      <c r="M136" s="1">
        <f>(orders[[#This Row],[Revenue]]-orders[[#This Row],[Cost]])</f>
        <v>1266.5</v>
      </c>
      <c r="N136" s="8">
        <f>IFERROR(orders[[#This Row],[profit]]/orders[[#This Row],[Revenue]],0)</f>
        <v>0.28932038834951457</v>
      </c>
      <c r="O136">
        <f>IF(orders[[#This Row],[Delivery Date]]="","",(orders[[#This Row],[Delivery Date]]-orders[[#This Row],[Date]]))</f>
        <v>3</v>
      </c>
      <c r="P136" t="str">
        <f>IF(orders[[#This Row],[delivery days]]="","Not Delivered",IF(orders[[#This Row],[delivery days]]&lt;=2,"Fast",IF(orders[[#This Row],[delivery days]]&lt;=5,"Normal","Delayed")))</f>
        <v>Normal</v>
      </c>
    </row>
    <row r="137" spans="1:16" x14ac:dyDescent="0.25">
      <c r="A137" t="s">
        <v>261</v>
      </c>
      <c r="B137" s="5">
        <v>45711</v>
      </c>
      <c r="C137" t="s">
        <v>174</v>
      </c>
      <c r="D137" t="s">
        <v>28</v>
      </c>
      <c r="E137" t="s">
        <v>29</v>
      </c>
      <c r="F137">
        <v>2</v>
      </c>
      <c r="G137" s="1">
        <v>49.44</v>
      </c>
      <c r="H137" s="1">
        <v>18</v>
      </c>
      <c r="I137" s="5">
        <v>45715</v>
      </c>
      <c r="J137" t="s">
        <v>46</v>
      </c>
      <c r="K137" t="s">
        <v>24</v>
      </c>
      <c r="L137" t="s">
        <v>25</v>
      </c>
      <c r="M137" s="1">
        <f>(orders[[#This Row],[Revenue]]-orders[[#This Row],[Cost]])</f>
        <v>31.439999999999998</v>
      </c>
      <c r="N137" s="8">
        <f>IFERROR(orders[[#This Row],[profit]]/orders[[#This Row],[Revenue]],0)</f>
        <v>0.63592233009708732</v>
      </c>
      <c r="O137">
        <f>IF(orders[[#This Row],[Delivery Date]]="","",(orders[[#This Row],[Delivery Date]]-orders[[#This Row],[Date]]))</f>
        <v>4</v>
      </c>
      <c r="P137" t="str">
        <f>IF(orders[[#This Row],[delivery days]]="","Not Delivered",IF(orders[[#This Row],[delivery days]]&lt;=2,"Fast",IF(orders[[#This Row],[delivery days]]&lt;=5,"Normal","Delayed")))</f>
        <v>Normal</v>
      </c>
    </row>
    <row r="138" spans="1:16" x14ac:dyDescent="0.25">
      <c r="A138" t="s">
        <v>262</v>
      </c>
      <c r="B138" s="5">
        <v>45711</v>
      </c>
      <c r="C138" t="s">
        <v>13</v>
      </c>
      <c r="D138" t="s">
        <v>21</v>
      </c>
      <c r="E138" t="s">
        <v>22</v>
      </c>
      <c r="F138">
        <v>1</v>
      </c>
      <c r="G138" s="1">
        <v>32</v>
      </c>
      <c r="H138" s="1">
        <v>12.74</v>
      </c>
      <c r="I138" s="5">
        <v>45714</v>
      </c>
      <c r="J138" t="s">
        <v>46</v>
      </c>
      <c r="K138" t="s">
        <v>24</v>
      </c>
      <c r="L138" t="s">
        <v>25</v>
      </c>
      <c r="M138" s="1">
        <f>(orders[[#This Row],[Revenue]]-orders[[#This Row],[Cost]])</f>
        <v>19.259999999999998</v>
      </c>
      <c r="N138" s="8">
        <f>IFERROR(orders[[#This Row],[profit]]/orders[[#This Row],[Revenue]],0)</f>
        <v>0.60187499999999994</v>
      </c>
      <c r="O138">
        <f>IF(orders[[#This Row],[Delivery Date]]="","",(orders[[#This Row],[Delivery Date]]-orders[[#This Row],[Date]]))</f>
        <v>3</v>
      </c>
      <c r="P138" t="str">
        <f>IF(orders[[#This Row],[delivery days]]="","Not Delivered",IF(orders[[#This Row],[delivery days]]&lt;=2,"Fast",IF(orders[[#This Row],[delivery days]]&lt;=5,"Normal","Delayed")))</f>
        <v>Normal</v>
      </c>
    </row>
    <row r="139" spans="1:16" x14ac:dyDescent="0.25">
      <c r="A139" t="s">
        <v>263</v>
      </c>
      <c r="B139" s="5">
        <v>45711</v>
      </c>
      <c r="C139" t="s">
        <v>176</v>
      </c>
      <c r="D139" t="s">
        <v>113</v>
      </c>
      <c r="E139" t="s">
        <v>15</v>
      </c>
      <c r="F139">
        <v>1</v>
      </c>
      <c r="G139" s="1">
        <v>95</v>
      </c>
      <c r="H139" s="1">
        <v>48</v>
      </c>
      <c r="I139" s="5"/>
      <c r="J139" t="s">
        <v>16</v>
      </c>
      <c r="K139" t="s">
        <v>17</v>
      </c>
      <c r="L139" t="s">
        <v>42</v>
      </c>
      <c r="M139" s="1">
        <f>(orders[[#This Row],[Revenue]]-orders[[#This Row],[Cost]])</f>
        <v>47</v>
      </c>
      <c r="N139" s="8">
        <f>IFERROR(orders[[#This Row],[profit]]/orders[[#This Row],[Revenue]],0)</f>
        <v>0.49473684210526314</v>
      </c>
      <c r="O139" t="str">
        <f>IF(orders[[#This Row],[Delivery Date]]="","",(orders[[#This Row],[Delivery Date]]-orders[[#This Row],[Date]]))</f>
        <v/>
      </c>
      <c r="P139" t="str">
        <f>IF(orders[[#This Row],[delivery days]]="","Not Delivered",IF(orders[[#This Row],[delivery days]]&lt;=2,"Fast",IF(orders[[#This Row],[delivery days]]&lt;=5,"Normal","Delayed")))</f>
        <v>Not Delivered</v>
      </c>
    </row>
    <row r="140" spans="1:16" x14ac:dyDescent="0.25">
      <c r="A140" t="s">
        <v>264</v>
      </c>
      <c r="B140" s="5">
        <v>45712</v>
      </c>
      <c r="C140" t="s">
        <v>41</v>
      </c>
      <c r="D140" t="s">
        <v>61</v>
      </c>
      <c r="E140" t="s">
        <v>62</v>
      </c>
      <c r="F140">
        <v>1</v>
      </c>
      <c r="G140" s="1">
        <v>32</v>
      </c>
      <c r="H140" s="1">
        <v>13.72</v>
      </c>
      <c r="I140" s="5">
        <v>45718</v>
      </c>
      <c r="J140" t="s">
        <v>23</v>
      </c>
      <c r="K140" t="s">
        <v>17</v>
      </c>
      <c r="L140" t="s">
        <v>25</v>
      </c>
      <c r="M140" s="1">
        <f>(orders[[#This Row],[Revenue]]-orders[[#This Row],[Cost]])</f>
        <v>18.28</v>
      </c>
      <c r="N140" s="8">
        <f>IFERROR(orders[[#This Row],[profit]]/orders[[#This Row],[Revenue]],0)</f>
        <v>0.57125000000000004</v>
      </c>
      <c r="O140">
        <f>IF(orders[[#This Row],[Delivery Date]]="","",(orders[[#This Row],[Delivery Date]]-orders[[#This Row],[Date]]))</f>
        <v>6</v>
      </c>
      <c r="P140" t="str">
        <f>IF(orders[[#This Row],[delivery days]]="","Not Delivered",IF(orders[[#This Row],[delivery days]]&lt;=2,"Fast",IF(orders[[#This Row],[delivery days]]&lt;=5,"Normal","Delayed")))</f>
        <v>Delayed</v>
      </c>
    </row>
    <row r="141" spans="1:16" x14ac:dyDescent="0.25">
      <c r="A141" t="s">
        <v>265</v>
      </c>
      <c r="B141" s="5">
        <v>45712</v>
      </c>
      <c r="C141" t="s">
        <v>27</v>
      </c>
      <c r="D141" t="s">
        <v>266</v>
      </c>
      <c r="E141" t="s">
        <v>22</v>
      </c>
      <c r="F141">
        <v>5</v>
      </c>
      <c r="G141" s="1">
        <v>90</v>
      </c>
      <c r="H141" s="1">
        <v>34.299999999999997</v>
      </c>
      <c r="I141" s="5">
        <v>45713</v>
      </c>
      <c r="J141" t="s">
        <v>30</v>
      </c>
      <c r="K141" t="s">
        <v>35</v>
      </c>
      <c r="L141" t="s">
        <v>25</v>
      </c>
      <c r="M141" s="1">
        <f>(orders[[#This Row],[Revenue]]-orders[[#This Row],[Cost]])</f>
        <v>55.7</v>
      </c>
      <c r="N141" s="8">
        <f>IFERROR(orders[[#This Row],[profit]]/orders[[#This Row],[Revenue]],0)</f>
        <v>0.61888888888888893</v>
      </c>
      <c r="O141">
        <f>IF(orders[[#This Row],[Delivery Date]]="","",(orders[[#This Row],[Delivery Date]]-orders[[#This Row],[Date]]))</f>
        <v>1</v>
      </c>
      <c r="P141" t="str">
        <f>IF(orders[[#This Row],[delivery days]]="","Not Delivered",IF(orders[[#This Row],[delivery days]]&lt;=2,"Fast",IF(orders[[#This Row],[delivery days]]&lt;=5,"Normal","Delayed")))</f>
        <v>Fast</v>
      </c>
    </row>
    <row r="142" spans="1:16" x14ac:dyDescent="0.25">
      <c r="A142" t="s">
        <v>267</v>
      </c>
      <c r="B142" s="5">
        <v>45712</v>
      </c>
      <c r="C142" t="s">
        <v>116</v>
      </c>
      <c r="D142" t="s">
        <v>14</v>
      </c>
      <c r="E142" t="s">
        <v>15</v>
      </c>
      <c r="F142">
        <v>4</v>
      </c>
      <c r="G142" s="1">
        <v>100</v>
      </c>
      <c r="H142" s="1">
        <v>36</v>
      </c>
      <c r="I142" s="5">
        <v>45714</v>
      </c>
      <c r="J142" t="s">
        <v>30</v>
      </c>
      <c r="K142" t="s">
        <v>17</v>
      </c>
      <c r="L142" t="s">
        <v>25</v>
      </c>
      <c r="M142" s="1">
        <f>(orders[[#This Row],[Revenue]]-orders[[#This Row],[Cost]])</f>
        <v>64</v>
      </c>
      <c r="N142" s="8">
        <f>IFERROR(orders[[#This Row],[profit]]/orders[[#This Row],[Revenue]],0)</f>
        <v>0.64</v>
      </c>
      <c r="O142">
        <f>IF(orders[[#This Row],[Delivery Date]]="","",(orders[[#This Row],[Delivery Date]]-orders[[#This Row],[Date]]))</f>
        <v>2</v>
      </c>
      <c r="P142" t="str">
        <f>IF(orders[[#This Row],[delivery days]]="","Not Delivered",IF(orders[[#This Row],[delivery days]]&lt;=2,"Fast",IF(orders[[#This Row],[delivery days]]&lt;=5,"Normal","Delayed")))</f>
        <v>Fast</v>
      </c>
    </row>
    <row r="143" spans="1:16" x14ac:dyDescent="0.25">
      <c r="A143" t="s">
        <v>268</v>
      </c>
      <c r="B143" s="5">
        <v>45713</v>
      </c>
      <c r="C143" t="s">
        <v>269</v>
      </c>
      <c r="D143" t="s">
        <v>270</v>
      </c>
      <c r="E143" t="s">
        <v>39</v>
      </c>
      <c r="F143">
        <v>1</v>
      </c>
      <c r="G143" s="1">
        <v>43.65</v>
      </c>
      <c r="H143" s="1">
        <v>22</v>
      </c>
      <c r="I143" s="5">
        <v>45718</v>
      </c>
      <c r="J143" t="s">
        <v>46</v>
      </c>
      <c r="K143" t="s">
        <v>24</v>
      </c>
      <c r="L143" t="s">
        <v>25</v>
      </c>
      <c r="M143" s="1">
        <f>(orders[[#This Row],[Revenue]]-orders[[#This Row],[Cost]])</f>
        <v>21.65</v>
      </c>
      <c r="N143" s="8">
        <f>IFERROR(orders[[#This Row],[profit]]/orders[[#This Row],[Revenue]],0)</f>
        <v>0.49599083619702172</v>
      </c>
      <c r="O143">
        <f>IF(orders[[#This Row],[Delivery Date]]="","",(orders[[#This Row],[Delivery Date]]-orders[[#This Row],[Date]]))</f>
        <v>5</v>
      </c>
      <c r="P143" t="str">
        <f>IF(orders[[#This Row],[delivery days]]="","Not Delivered",IF(orders[[#This Row],[delivery days]]&lt;=2,"Fast",IF(orders[[#This Row],[delivery days]]&lt;=5,"Normal","Delayed")))</f>
        <v>Normal</v>
      </c>
    </row>
    <row r="144" spans="1:16" x14ac:dyDescent="0.25">
      <c r="A144" t="s">
        <v>271</v>
      </c>
      <c r="B144" s="5">
        <v>45713</v>
      </c>
      <c r="C144" t="s">
        <v>82</v>
      </c>
      <c r="D144" t="s">
        <v>215</v>
      </c>
      <c r="E144" t="s">
        <v>62</v>
      </c>
      <c r="F144">
        <v>1</v>
      </c>
      <c r="G144" s="1">
        <v>213.4</v>
      </c>
      <c r="H144" s="1">
        <v>142</v>
      </c>
      <c r="I144" s="5"/>
      <c r="J144" t="s">
        <v>46</v>
      </c>
      <c r="K144" t="s">
        <v>47</v>
      </c>
      <c r="L144" t="s">
        <v>103</v>
      </c>
      <c r="M144" s="1">
        <f>(orders[[#This Row],[Revenue]]-orders[[#This Row],[Cost]])</f>
        <v>71.400000000000006</v>
      </c>
      <c r="N144" s="8">
        <f>IFERROR(orders[[#This Row],[profit]]/orders[[#This Row],[Revenue]],0)</f>
        <v>0.33458294283036555</v>
      </c>
      <c r="O144" t="str">
        <f>IF(orders[[#This Row],[Delivery Date]]="","",(orders[[#This Row],[Delivery Date]]-orders[[#This Row],[Date]]))</f>
        <v/>
      </c>
      <c r="P144" t="str">
        <f>IF(orders[[#This Row],[delivery days]]="","Not Delivered",IF(orders[[#This Row],[delivery days]]&lt;=2,"Fast",IF(orders[[#This Row],[delivery days]]&lt;=5,"Normal","Delayed")))</f>
        <v>Not Delivered</v>
      </c>
    </row>
    <row r="145" spans="1:16" x14ac:dyDescent="0.25">
      <c r="A145" t="s">
        <v>272</v>
      </c>
      <c r="B145" s="5">
        <v>45714</v>
      </c>
      <c r="C145" t="s">
        <v>222</v>
      </c>
      <c r="D145" t="s">
        <v>163</v>
      </c>
      <c r="E145" t="s">
        <v>39</v>
      </c>
      <c r="F145">
        <v>2</v>
      </c>
      <c r="G145" s="1">
        <v>190</v>
      </c>
      <c r="H145" s="1">
        <v>101.92</v>
      </c>
      <c r="I145" s="5">
        <v>45717</v>
      </c>
      <c r="J145" t="s">
        <v>16</v>
      </c>
      <c r="K145" t="s">
        <v>17</v>
      </c>
      <c r="L145" t="s">
        <v>25</v>
      </c>
      <c r="M145" s="1">
        <f>(orders[[#This Row],[Revenue]]-orders[[#This Row],[Cost]])</f>
        <v>88.08</v>
      </c>
      <c r="N145" s="8">
        <f>IFERROR(orders[[#This Row],[profit]]/orders[[#This Row],[Revenue]],0)</f>
        <v>0.46357894736842103</v>
      </c>
      <c r="O145">
        <f>IF(orders[[#This Row],[Delivery Date]]="","",(orders[[#This Row],[Delivery Date]]-orders[[#This Row],[Date]]))</f>
        <v>3</v>
      </c>
      <c r="P145" t="str">
        <f>IF(orders[[#This Row],[delivery days]]="","Not Delivered",IF(orders[[#This Row],[delivery days]]&lt;=2,"Fast",IF(orders[[#This Row],[delivery days]]&lt;=5,"Normal","Delayed")))</f>
        <v>Normal</v>
      </c>
    </row>
    <row r="146" spans="1:16" x14ac:dyDescent="0.25">
      <c r="A146" t="s">
        <v>273</v>
      </c>
      <c r="B146" s="5">
        <v>45714</v>
      </c>
      <c r="C146" t="s">
        <v>210</v>
      </c>
      <c r="D146" t="s">
        <v>168</v>
      </c>
      <c r="E146" t="s">
        <v>29</v>
      </c>
      <c r="F146">
        <v>2</v>
      </c>
      <c r="G146" s="1">
        <v>44</v>
      </c>
      <c r="H146" s="1">
        <v>16</v>
      </c>
      <c r="I146" s="5">
        <v>45718</v>
      </c>
      <c r="J146" t="s">
        <v>52</v>
      </c>
      <c r="K146" t="s">
        <v>24</v>
      </c>
      <c r="L146" t="s">
        <v>25</v>
      </c>
      <c r="M146" s="1">
        <f>(orders[[#This Row],[Revenue]]-orders[[#This Row],[Cost]])</f>
        <v>28</v>
      </c>
      <c r="N146" s="8">
        <f>IFERROR(orders[[#This Row],[profit]]/orders[[#This Row],[Revenue]],0)</f>
        <v>0.63636363636363635</v>
      </c>
      <c r="O146">
        <f>IF(orders[[#This Row],[Delivery Date]]="","",(orders[[#This Row],[Delivery Date]]-orders[[#This Row],[Date]]))</f>
        <v>4</v>
      </c>
      <c r="P146" t="str">
        <f>IF(orders[[#This Row],[delivery days]]="","Not Delivered",IF(orders[[#This Row],[delivery days]]&lt;=2,"Fast",IF(orders[[#This Row],[delivery days]]&lt;=5,"Normal","Delayed")))</f>
        <v>Normal</v>
      </c>
    </row>
    <row r="147" spans="1:16" x14ac:dyDescent="0.25">
      <c r="A147" t="s">
        <v>274</v>
      </c>
      <c r="B147" s="5">
        <v>45714</v>
      </c>
      <c r="C147" t="s">
        <v>149</v>
      </c>
      <c r="D147" t="s">
        <v>21</v>
      </c>
      <c r="E147" t="s">
        <v>22</v>
      </c>
      <c r="F147">
        <v>2</v>
      </c>
      <c r="G147" s="1">
        <v>62.08</v>
      </c>
      <c r="H147" s="1">
        <v>26.52</v>
      </c>
      <c r="I147" s="5">
        <v>45717</v>
      </c>
      <c r="J147" t="s">
        <v>30</v>
      </c>
      <c r="K147" t="s">
        <v>17</v>
      </c>
      <c r="L147" t="s">
        <v>25</v>
      </c>
      <c r="M147" s="1">
        <f>(orders[[#This Row],[Revenue]]-orders[[#This Row],[Cost]])</f>
        <v>35.56</v>
      </c>
      <c r="N147" s="8">
        <f>IFERROR(orders[[#This Row],[profit]]/orders[[#This Row],[Revenue]],0)</f>
        <v>0.57280927835051554</v>
      </c>
      <c r="O147">
        <f>IF(orders[[#This Row],[Delivery Date]]="","",(orders[[#This Row],[Delivery Date]]-orders[[#This Row],[Date]]))</f>
        <v>3</v>
      </c>
      <c r="P147" t="str">
        <f>IF(orders[[#This Row],[delivery days]]="","Not Delivered",IF(orders[[#This Row],[delivery days]]&lt;=2,"Fast",IF(orders[[#This Row],[delivery days]]&lt;=5,"Normal","Delayed")))</f>
        <v>Normal</v>
      </c>
    </row>
    <row r="148" spans="1:16" x14ac:dyDescent="0.25">
      <c r="A148" t="s">
        <v>275</v>
      </c>
      <c r="B148" s="5">
        <v>45714</v>
      </c>
      <c r="C148" t="s">
        <v>96</v>
      </c>
      <c r="D148" t="s">
        <v>168</v>
      </c>
      <c r="E148" t="s">
        <v>29</v>
      </c>
      <c r="F148">
        <v>3</v>
      </c>
      <c r="G148" s="1">
        <v>66</v>
      </c>
      <c r="H148" s="1">
        <v>24</v>
      </c>
      <c r="I148" s="5">
        <v>45716</v>
      </c>
      <c r="J148" t="s">
        <v>30</v>
      </c>
      <c r="K148" t="s">
        <v>17</v>
      </c>
      <c r="L148" t="s">
        <v>25</v>
      </c>
      <c r="M148" s="1">
        <f>(orders[[#This Row],[Revenue]]-orders[[#This Row],[Cost]])</f>
        <v>42</v>
      </c>
      <c r="N148" s="8">
        <f>IFERROR(orders[[#This Row],[profit]]/orders[[#This Row],[Revenue]],0)</f>
        <v>0.63636363636363635</v>
      </c>
      <c r="O148">
        <f>IF(orders[[#This Row],[Delivery Date]]="","",(orders[[#This Row],[Delivery Date]]-orders[[#This Row],[Date]]))</f>
        <v>2</v>
      </c>
      <c r="P148" t="str">
        <f>IF(orders[[#This Row],[delivery days]]="","Not Delivered",IF(orders[[#This Row],[delivery days]]&lt;=2,"Fast",IF(orders[[#This Row],[delivery days]]&lt;=5,"Normal","Delayed")))</f>
        <v>Fast</v>
      </c>
    </row>
    <row r="149" spans="1:16" x14ac:dyDescent="0.25">
      <c r="A149" t="s">
        <v>276</v>
      </c>
      <c r="B149" s="5">
        <v>45715</v>
      </c>
      <c r="C149" t="s">
        <v>137</v>
      </c>
      <c r="D149" t="s">
        <v>119</v>
      </c>
      <c r="E149" t="s">
        <v>39</v>
      </c>
      <c r="F149">
        <v>1</v>
      </c>
      <c r="G149" s="1">
        <v>55</v>
      </c>
      <c r="H149" s="1">
        <v>28</v>
      </c>
      <c r="I149" s="5"/>
      <c r="J149" t="s">
        <v>16</v>
      </c>
      <c r="K149" t="s">
        <v>35</v>
      </c>
      <c r="L149" t="s">
        <v>103</v>
      </c>
      <c r="M149" s="1">
        <f>(orders[[#This Row],[Revenue]]-orders[[#This Row],[Cost]])</f>
        <v>27</v>
      </c>
      <c r="N149" s="8">
        <f>IFERROR(orders[[#This Row],[profit]]/orders[[#This Row],[Revenue]],0)</f>
        <v>0.49090909090909091</v>
      </c>
      <c r="O149" t="str">
        <f>IF(orders[[#This Row],[Delivery Date]]="","",(orders[[#This Row],[Delivery Date]]-orders[[#This Row],[Date]]))</f>
        <v/>
      </c>
      <c r="P149" t="str">
        <f>IF(orders[[#This Row],[delivery days]]="","Not Delivered",IF(orders[[#This Row],[delivery days]]&lt;=2,"Fast",IF(orders[[#This Row],[delivery days]]&lt;=5,"Normal","Delayed")))</f>
        <v>Not Delivered</v>
      </c>
    </row>
    <row r="150" spans="1:16" x14ac:dyDescent="0.25">
      <c r="A150" t="s">
        <v>277</v>
      </c>
      <c r="B150" s="5">
        <v>45715</v>
      </c>
      <c r="C150" t="s">
        <v>278</v>
      </c>
      <c r="D150" t="s">
        <v>159</v>
      </c>
      <c r="E150" t="s">
        <v>39</v>
      </c>
      <c r="F150">
        <v>3</v>
      </c>
      <c r="G150" s="1">
        <v>330</v>
      </c>
      <c r="H150" s="1">
        <v>186</v>
      </c>
      <c r="I150" s="5"/>
      <c r="J150" t="s">
        <v>30</v>
      </c>
      <c r="K150" t="s">
        <v>17</v>
      </c>
      <c r="L150" t="s">
        <v>42</v>
      </c>
      <c r="M150" s="1">
        <f>(orders[[#This Row],[Revenue]]-orders[[#This Row],[Cost]])</f>
        <v>144</v>
      </c>
      <c r="N150" s="8">
        <f>IFERROR(orders[[#This Row],[profit]]/orders[[#This Row],[Revenue]],0)</f>
        <v>0.43636363636363634</v>
      </c>
      <c r="O150" t="str">
        <f>IF(orders[[#This Row],[Delivery Date]]="","",(orders[[#This Row],[Delivery Date]]-orders[[#This Row],[Date]]))</f>
        <v/>
      </c>
      <c r="P150" t="str">
        <f>IF(orders[[#This Row],[delivery days]]="","Not Delivered",IF(orders[[#This Row],[delivery days]]&lt;=2,"Fast",IF(orders[[#This Row],[delivery days]]&lt;=5,"Normal","Delayed")))</f>
        <v>Not Delivered</v>
      </c>
    </row>
    <row r="151" spans="1:16" x14ac:dyDescent="0.25">
      <c r="A151" t="s">
        <v>279</v>
      </c>
      <c r="B151" s="5">
        <v>45716</v>
      </c>
      <c r="C151" t="s">
        <v>176</v>
      </c>
      <c r="D151" t="s">
        <v>70</v>
      </c>
      <c r="E151" t="s">
        <v>62</v>
      </c>
      <c r="F151">
        <v>5</v>
      </c>
      <c r="G151" s="1">
        <v>729</v>
      </c>
      <c r="H151" s="1">
        <v>397.8</v>
      </c>
      <c r="I151" s="5">
        <v>45718</v>
      </c>
      <c r="J151" t="s">
        <v>30</v>
      </c>
      <c r="K151" t="s">
        <v>17</v>
      </c>
      <c r="L151" t="s">
        <v>25</v>
      </c>
      <c r="M151" s="1">
        <f>(orders[[#This Row],[Revenue]]-orders[[#This Row],[Cost]])</f>
        <v>331.2</v>
      </c>
      <c r="N151" s="8">
        <f>IFERROR(orders[[#This Row],[profit]]/orders[[#This Row],[Revenue]],0)</f>
        <v>0.454320987654321</v>
      </c>
      <c r="O151">
        <f>IF(orders[[#This Row],[Delivery Date]]="","",(orders[[#This Row],[Delivery Date]]-orders[[#This Row],[Date]]))</f>
        <v>2</v>
      </c>
      <c r="P151" t="str">
        <f>IF(orders[[#This Row],[delivery days]]="","Not Delivered",IF(orders[[#This Row],[delivery days]]&lt;=2,"Fast",IF(orders[[#This Row],[delivery days]]&lt;=5,"Normal","Delayed")))</f>
        <v>Fast</v>
      </c>
    </row>
    <row r="152" spans="1:16" x14ac:dyDescent="0.25">
      <c r="A152" t="s">
        <v>280</v>
      </c>
      <c r="B152" s="5">
        <v>45716</v>
      </c>
      <c r="C152" t="s">
        <v>222</v>
      </c>
      <c r="D152" t="s">
        <v>168</v>
      </c>
      <c r="E152" t="s">
        <v>29</v>
      </c>
      <c r="F152">
        <v>1</v>
      </c>
      <c r="G152" s="1">
        <v>22</v>
      </c>
      <c r="H152" s="1">
        <v>8</v>
      </c>
      <c r="I152" s="5">
        <v>45717</v>
      </c>
      <c r="J152" t="s">
        <v>30</v>
      </c>
      <c r="K152" t="s">
        <v>17</v>
      </c>
      <c r="L152" t="s">
        <v>25</v>
      </c>
      <c r="M152" s="1">
        <f>(orders[[#This Row],[Revenue]]-orders[[#This Row],[Cost]])</f>
        <v>14</v>
      </c>
      <c r="N152" s="8">
        <f>IFERROR(orders[[#This Row],[profit]]/orders[[#This Row],[Revenue]],0)</f>
        <v>0.63636363636363635</v>
      </c>
      <c r="O152">
        <f>IF(orders[[#This Row],[Delivery Date]]="","",(orders[[#This Row],[Delivery Date]]-orders[[#This Row],[Date]]))</f>
        <v>1</v>
      </c>
      <c r="P152" t="str">
        <f>IF(orders[[#This Row],[delivery days]]="","Not Delivered",IF(orders[[#This Row],[delivery days]]&lt;=2,"Fast",IF(orders[[#This Row],[delivery days]]&lt;=5,"Normal","Delayed")))</f>
        <v>Fast</v>
      </c>
    </row>
    <row r="153" spans="1:16" x14ac:dyDescent="0.25">
      <c r="A153" t="s">
        <v>281</v>
      </c>
      <c r="B153" s="5">
        <v>45717</v>
      </c>
      <c r="C153" t="s">
        <v>282</v>
      </c>
      <c r="D153" t="s">
        <v>61</v>
      </c>
      <c r="E153" t="s">
        <v>62</v>
      </c>
      <c r="F153">
        <v>5</v>
      </c>
      <c r="G153" s="1">
        <v>164.8</v>
      </c>
      <c r="H153" s="1">
        <v>70</v>
      </c>
      <c r="I153" s="5">
        <v>45719</v>
      </c>
      <c r="J153" t="s">
        <v>23</v>
      </c>
      <c r="K153" t="s">
        <v>17</v>
      </c>
      <c r="L153" t="s">
        <v>25</v>
      </c>
      <c r="M153" s="1">
        <f>(orders[[#This Row],[Revenue]]-orders[[#This Row],[Cost]])</f>
        <v>94.800000000000011</v>
      </c>
      <c r="N153" s="8">
        <f>IFERROR(orders[[#This Row],[profit]]/orders[[#This Row],[Revenue]],0)</f>
        <v>0.57524271844660202</v>
      </c>
      <c r="O153">
        <f>IF(orders[[#This Row],[Delivery Date]]="","",(orders[[#This Row],[Delivery Date]]-orders[[#This Row],[Date]]))</f>
        <v>2</v>
      </c>
      <c r="P153" t="str">
        <f>IF(orders[[#This Row],[delivery days]]="","Not Delivered",IF(orders[[#This Row],[delivery days]]&lt;=2,"Fast",IF(orders[[#This Row],[delivery days]]&lt;=5,"Normal","Delayed")))</f>
        <v>Fast</v>
      </c>
    </row>
    <row r="154" spans="1:16" x14ac:dyDescent="0.25">
      <c r="A154" t="s">
        <v>283</v>
      </c>
      <c r="B154" s="5">
        <v>45717</v>
      </c>
      <c r="C154" t="s">
        <v>181</v>
      </c>
      <c r="D154" t="s">
        <v>219</v>
      </c>
      <c r="E154" t="s">
        <v>34</v>
      </c>
      <c r="F154">
        <v>1</v>
      </c>
      <c r="G154" s="1">
        <v>25.76</v>
      </c>
      <c r="H154" s="1">
        <v>10.78</v>
      </c>
      <c r="I154" s="5">
        <v>45721</v>
      </c>
      <c r="J154" t="s">
        <v>30</v>
      </c>
      <c r="K154" t="s">
        <v>17</v>
      </c>
      <c r="L154" t="s">
        <v>25</v>
      </c>
      <c r="M154" s="1">
        <f>(orders[[#This Row],[Revenue]]-orders[[#This Row],[Cost]])</f>
        <v>14.980000000000002</v>
      </c>
      <c r="N154" s="8">
        <f>IFERROR(orders[[#This Row],[profit]]/orders[[#This Row],[Revenue]],0)</f>
        <v>0.58152173913043481</v>
      </c>
      <c r="O154">
        <f>IF(orders[[#This Row],[Delivery Date]]="","",(orders[[#This Row],[Delivery Date]]-orders[[#This Row],[Date]]))</f>
        <v>4</v>
      </c>
      <c r="P154" t="str">
        <f>IF(orders[[#This Row],[delivery days]]="","Not Delivered",IF(orders[[#This Row],[delivery days]]&lt;=2,"Fast",IF(orders[[#This Row],[delivery days]]&lt;=5,"Normal","Delayed")))</f>
        <v>Normal</v>
      </c>
    </row>
    <row r="155" spans="1:16" x14ac:dyDescent="0.25">
      <c r="A155" t="s">
        <v>284</v>
      </c>
      <c r="B155" s="5">
        <v>45717</v>
      </c>
      <c r="C155" t="s">
        <v>90</v>
      </c>
      <c r="D155" t="s">
        <v>159</v>
      </c>
      <c r="E155" t="s">
        <v>39</v>
      </c>
      <c r="F155">
        <v>2</v>
      </c>
      <c r="G155" s="1">
        <v>237.6</v>
      </c>
      <c r="H155" s="1">
        <v>124</v>
      </c>
      <c r="I155" s="5">
        <v>45718</v>
      </c>
      <c r="J155" t="s">
        <v>16</v>
      </c>
      <c r="K155" t="s">
        <v>35</v>
      </c>
      <c r="L155" t="s">
        <v>25</v>
      </c>
      <c r="M155" s="1">
        <f>(orders[[#This Row],[Revenue]]-orders[[#This Row],[Cost]])</f>
        <v>113.6</v>
      </c>
      <c r="N155" s="8">
        <f>IFERROR(orders[[#This Row],[profit]]/orders[[#This Row],[Revenue]],0)</f>
        <v>0.4781144781144781</v>
      </c>
      <c r="O155">
        <f>IF(orders[[#This Row],[Delivery Date]]="","",(orders[[#This Row],[Delivery Date]]-orders[[#This Row],[Date]]))</f>
        <v>1</v>
      </c>
      <c r="P155" t="str">
        <f>IF(orders[[#This Row],[delivery days]]="","Not Delivered",IF(orders[[#This Row],[delivery days]]&lt;=2,"Fast",IF(orders[[#This Row],[delivery days]]&lt;=5,"Normal","Delayed")))</f>
        <v>Fast</v>
      </c>
    </row>
    <row r="156" spans="1:16" x14ac:dyDescent="0.25">
      <c r="A156" t="s">
        <v>285</v>
      </c>
      <c r="B156" s="5">
        <v>45718</v>
      </c>
      <c r="C156" t="s">
        <v>75</v>
      </c>
      <c r="D156" t="s">
        <v>129</v>
      </c>
      <c r="E156" t="s">
        <v>39</v>
      </c>
      <c r="F156">
        <v>2</v>
      </c>
      <c r="G156" s="1">
        <v>259.2</v>
      </c>
      <c r="H156" s="1">
        <v>136</v>
      </c>
      <c r="I156" s="5">
        <v>45721</v>
      </c>
      <c r="J156" t="s">
        <v>23</v>
      </c>
      <c r="K156" t="s">
        <v>17</v>
      </c>
      <c r="L156" t="s">
        <v>25</v>
      </c>
      <c r="M156" s="1">
        <f>(orders[[#This Row],[Revenue]]-orders[[#This Row],[Cost]])</f>
        <v>123.19999999999999</v>
      </c>
      <c r="N156" s="8">
        <f>IFERROR(orders[[#This Row],[profit]]/orders[[#This Row],[Revenue]],0)</f>
        <v>0.47530864197530864</v>
      </c>
      <c r="O156">
        <f>IF(orders[[#This Row],[Delivery Date]]="","",(orders[[#This Row],[Delivery Date]]-orders[[#This Row],[Date]]))</f>
        <v>3</v>
      </c>
      <c r="P156" t="str">
        <f>IF(orders[[#This Row],[delivery days]]="","Not Delivered",IF(orders[[#This Row],[delivery days]]&lt;=2,"Fast",IF(orders[[#This Row],[delivery days]]&lt;=5,"Normal","Delayed")))</f>
        <v>Normal</v>
      </c>
    </row>
    <row r="157" spans="1:16" x14ac:dyDescent="0.25">
      <c r="A157" t="s">
        <v>286</v>
      </c>
      <c r="B157" s="5">
        <v>45719</v>
      </c>
      <c r="C157" t="s">
        <v>210</v>
      </c>
      <c r="D157" t="s">
        <v>113</v>
      </c>
      <c r="E157" t="s">
        <v>15</v>
      </c>
      <c r="F157">
        <v>1</v>
      </c>
      <c r="G157" s="1">
        <v>87.4</v>
      </c>
      <c r="H157" s="1">
        <v>48</v>
      </c>
      <c r="I157" s="5">
        <v>45723</v>
      </c>
      <c r="J157" t="s">
        <v>46</v>
      </c>
      <c r="K157" t="s">
        <v>24</v>
      </c>
      <c r="L157" t="s">
        <v>25</v>
      </c>
      <c r="M157" s="1">
        <f>(orders[[#This Row],[Revenue]]-orders[[#This Row],[Cost]])</f>
        <v>39.400000000000006</v>
      </c>
      <c r="N157" s="8">
        <f>IFERROR(orders[[#This Row],[profit]]/orders[[#This Row],[Revenue]],0)</f>
        <v>0.45080091533180783</v>
      </c>
      <c r="O157">
        <f>IF(orders[[#This Row],[Delivery Date]]="","",(orders[[#This Row],[Delivery Date]]-orders[[#This Row],[Date]]))</f>
        <v>4</v>
      </c>
      <c r="P157" t="str">
        <f>IF(orders[[#This Row],[delivery days]]="","Not Delivered",IF(orders[[#This Row],[delivery days]]&lt;=2,"Fast",IF(orders[[#This Row],[delivery days]]&lt;=5,"Normal","Delayed")))</f>
        <v>Normal</v>
      </c>
    </row>
    <row r="158" spans="1:16" x14ac:dyDescent="0.25">
      <c r="A158" t="s">
        <v>287</v>
      </c>
      <c r="B158" s="5">
        <v>45720</v>
      </c>
      <c r="C158" t="s">
        <v>105</v>
      </c>
      <c r="D158" t="s">
        <v>135</v>
      </c>
      <c r="E158" t="s">
        <v>62</v>
      </c>
      <c r="F158">
        <v>1</v>
      </c>
      <c r="G158" s="1">
        <v>118.45</v>
      </c>
      <c r="H158" s="1">
        <v>64.260000000000005</v>
      </c>
      <c r="I158" s="5">
        <v>45723</v>
      </c>
      <c r="J158" t="s">
        <v>16</v>
      </c>
      <c r="K158" t="s">
        <v>17</v>
      </c>
      <c r="L158" t="s">
        <v>25</v>
      </c>
      <c r="M158" s="1">
        <f>(orders[[#This Row],[Revenue]]-orders[[#This Row],[Cost]])</f>
        <v>54.19</v>
      </c>
      <c r="N158" s="8">
        <f>IFERROR(orders[[#This Row],[profit]]/orders[[#This Row],[Revenue]],0)</f>
        <v>0.45749261291684251</v>
      </c>
      <c r="O158">
        <f>IF(orders[[#This Row],[Delivery Date]]="","",(orders[[#This Row],[Delivery Date]]-orders[[#This Row],[Date]]))</f>
        <v>3</v>
      </c>
      <c r="P158" t="str">
        <f>IF(orders[[#This Row],[delivery days]]="","Not Delivered",IF(orders[[#This Row],[delivery days]]&lt;=2,"Fast",IF(orders[[#This Row],[delivery days]]&lt;=5,"Normal","Delayed")))</f>
        <v>Normal</v>
      </c>
    </row>
    <row r="159" spans="1:16" x14ac:dyDescent="0.25">
      <c r="A159" t="s">
        <v>288</v>
      </c>
      <c r="B159" s="5">
        <v>45720</v>
      </c>
      <c r="C159" t="s">
        <v>92</v>
      </c>
      <c r="D159" t="s">
        <v>289</v>
      </c>
      <c r="E159" t="s">
        <v>22</v>
      </c>
      <c r="F159">
        <v>2</v>
      </c>
      <c r="G159" s="1">
        <v>124</v>
      </c>
      <c r="H159" s="1">
        <v>58</v>
      </c>
      <c r="I159" s="5">
        <v>45723</v>
      </c>
      <c r="J159" t="s">
        <v>30</v>
      </c>
      <c r="K159" t="s">
        <v>17</v>
      </c>
      <c r="L159" t="s">
        <v>25</v>
      </c>
      <c r="M159" s="1">
        <f>(orders[[#This Row],[Revenue]]-orders[[#This Row],[Cost]])</f>
        <v>66</v>
      </c>
      <c r="N159" s="8">
        <f>IFERROR(orders[[#This Row],[profit]]/orders[[#This Row],[Revenue]],0)</f>
        <v>0.532258064516129</v>
      </c>
      <c r="O159">
        <f>IF(orders[[#This Row],[Delivery Date]]="","",(orders[[#This Row],[Delivery Date]]-orders[[#This Row],[Date]]))</f>
        <v>3</v>
      </c>
      <c r="P159" t="str">
        <f>IF(orders[[#This Row],[delivery days]]="","Not Delivered",IF(orders[[#This Row],[delivery days]]&lt;=2,"Fast",IF(orders[[#This Row],[delivery days]]&lt;=5,"Normal","Delayed")))</f>
        <v>Normal</v>
      </c>
    </row>
    <row r="160" spans="1:16" x14ac:dyDescent="0.25">
      <c r="A160" t="s">
        <v>290</v>
      </c>
      <c r="B160" s="5">
        <v>45720</v>
      </c>
      <c r="C160" t="s">
        <v>149</v>
      </c>
      <c r="D160" t="s">
        <v>153</v>
      </c>
      <c r="E160" t="s">
        <v>34</v>
      </c>
      <c r="F160">
        <v>4</v>
      </c>
      <c r="G160" s="1">
        <v>272</v>
      </c>
      <c r="H160" s="1">
        <v>128</v>
      </c>
      <c r="I160" s="5">
        <v>45724</v>
      </c>
      <c r="J160" t="s">
        <v>30</v>
      </c>
      <c r="K160" t="s">
        <v>17</v>
      </c>
      <c r="L160" t="s">
        <v>25</v>
      </c>
      <c r="M160" s="1">
        <f>(orders[[#This Row],[Revenue]]-orders[[#This Row],[Cost]])</f>
        <v>144</v>
      </c>
      <c r="N160" s="8">
        <f>IFERROR(orders[[#This Row],[profit]]/orders[[#This Row],[Revenue]],0)</f>
        <v>0.52941176470588236</v>
      </c>
      <c r="O160">
        <f>IF(orders[[#This Row],[Delivery Date]]="","",(orders[[#This Row],[Delivery Date]]-orders[[#This Row],[Date]]))</f>
        <v>4</v>
      </c>
      <c r="P160" t="str">
        <f>IF(orders[[#This Row],[delivery days]]="","Not Delivered",IF(orders[[#This Row],[delivery days]]&lt;=2,"Fast",IF(orders[[#This Row],[delivery days]]&lt;=5,"Normal","Delayed")))</f>
        <v>Normal</v>
      </c>
    </row>
    <row r="161" spans="1:16" x14ac:dyDescent="0.25">
      <c r="A161" t="s">
        <v>291</v>
      </c>
      <c r="B161" s="5">
        <v>45721</v>
      </c>
      <c r="C161" t="s">
        <v>210</v>
      </c>
      <c r="D161" t="s">
        <v>266</v>
      </c>
      <c r="E161" t="s">
        <v>22</v>
      </c>
      <c r="F161">
        <v>3</v>
      </c>
      <c r="G161" s="1">
        <v>54</v>
      </c>
      <c r="H161" s="1">
        <v>21</v>
      </c>
      <c r="I161" s="5">
        <v>45722</v>
      </c>
      <c r="J161" t="s">
        <v>30</v>
      </c>
      <c r="K161" t="s">
        <v>35</v>
      </c>
      <c r="L161" t="s">
        <v>25</v>
      </c>
      <c r="M161" s="1">
        <f>(orders[[#This Row],[Revenue]]-orders[[#This Row],[Cost]])</f>
        <v>33</v>
      </c>
      <c r="N161" s="8">
        <f>IFERROR(orders[[#This Row],[profit]]/orders[[#This Row],[Revenue]],0)</f>
        <v>0.61111111111111116</v>
      </c>
      <c r="O161">
        <f>IF(orders[[#This Row],[Delivery Date]]="","",(orders[[#This Row],[Delivery Date]]-orders[[#This Row],[Date]]))</f>
        <v>1</v>
      </c>
      <c r="P161" t="str">
        <f>IF(orders[[#This Row],[delivery days]]="","Not Delivered",IF(orders[[#This Row],[delivery days]]&lt;=2,"Fast",IF(orders[[#This Row],[delivery days]]&lt;=5,"Normal","Delayed")))</f>
        <v>Fast</v>
      </c>
    </row>
    <row r="162" spans="1:16" x14ac:dyDescent="0.25">
      <c r="A162" t="s">
        <v>292</v>
      </c>
      <c r="B162" s="5">
        <v>45722</v>
      </c>
      <c r="C162" t="s">
        <v>90</v>
      </c>
      <c r="D162" t="s">
        <v>187</v>
      </c>
      <c r="E162" t="s">
        <v>15</v>
      </c>
      <c r="F162">
        <v>1</v>
      </c>
      <c r="G162" s="1">
        <v>33.950000000000003</v>
      </c>
      <c r="H162" s="1">
        <v>16.32</v>
      </c>
      <c r="I162" s="5">
        <v>45724</v>
      </c>
      <c r="J162" t="s">
        <v>30</v>
      </c>
      <c r="K162" t="s">
        <v>35</v>
      </c>
      <c r="L162" t="s">
        <v>25</v>
      </c>
      <c r="M162" s="1">
        <f>(orders[[#This Row],[Revenue]]-orders[[#This Row],[Cost]])</f>
        <v>17.630000000000003</v>
      </c>
      <c r="N162" s="8">
        <f>IFERROR(orders[[#This Row],[profit]]/orders[[#This Row],[Revenue]],0)</f>
        <v>0.5192930780559647</v>
      </c>
      <c r="O162">
        <f>IF(orders[[#This Row],[Delivery Date]]="","",(orders[[#This Row],[Delivery Date]]-orders[[#This Row],[Date]]))</f>
        <v>2</v>
      </c>
      <c r="P162" t="str">
        <f>IF(orders[[#This Row],[delivery days]]="","Not Delivered",IF(orders[[#This Row],[delivery days]]&lt;=2,"Fast",IF(orders[[#This Row],[delivery days]]&lt;=5,"Normal","Delayed")))</f>
        <v>Fast</v>
      </c>
    </row>
    <row r="163" spans="1:16" x14ac:dyDescent="0.25">
      <c r="A163" t="s">
        <v>293</v>
      </c>
      <c r="B163" s="5">
        <v>45722</v>
      </c>
      <c r="C163" t="s">
        <v>228</v>
      </c>
      <c r="D163" t="s">
        <v>65</v>
      </c>
      <c r="E163" t="s">
        <v>62</v>
      </c>
      <c r="F163">
        <v>2</v>
      </c>
      <c r="G163" s="1">
        <v>96</v>
      </c>
      <c r="H163" s="1">
        <v>42</v>
      </c>
      <c r="I163" s="5">
        <v>45725</v>
      </c>
      <c r="J163" t="s">
        <v>16</v>
      </c>
      <c r="K163" t="s">
        <v>17</v>
      </c>
      <c r="L163" t="s">
        <v>25</v>
      </c>
      <c r="M163" s="1">
        <f>(orders[[#This Row],[Revenue]]-orders[[#This Row],[Cost]])</f>
        <v>54</v>
      </c>
      <c r="N163" s="8">
        <f>IFERROR(orders[[#This Row],[profit]]/orders[[#This Row],[Revenue]],0)</f>
        <v>0.5625</v>
      </c>
      <c r="O163">
        <f>IF(orders[[#This Row],[Delivery Date]]="","",(orders[[#This Row],[Delivery Date]]-orders[[#This Row],[Date]]))</f>
        <v>3</v>
      </c>
      <c r="P163" t="str">
        <f>IF(orders[[#This Row],[delivery days]]="","Not Delivered",IF(orders[[#This Row],[delivery days]]&lt;=2,"Fast",IF(orders[[#This Row],[delivery days]]&lt;=5,"Normal","Delayed")))</f>
        <v>Normal</v>
      </c>
    </row>
    <row r="164" spans="1:16" x14ac:dyDescent="0.25">
      <c r="A164" t="s">
        <v>294</v>
      </c>
      <c r="B164" s="5">
        <v>45722</v>
      </c>
      <c r="C164" t="s">
        <v>57</v>
      </c>
      <c r="D164" t="s">
        <v>224</v>
      </c>
      <c r="E164" t="s">
        <v>77</v>
      </c>
      <c r="F164">
        <v>2</v>
      </c>
      <c r="G164" s="1">
        <v>270</v>
      </c>
      <c r="H164" s="1">
        <v>134</v>
      </c>
      <c r="I164" s="5"/>
      <c r="J164" t="s">
        <v>52</v>
      </c>
      <c r="K164" t="s">
        <v>24</v>
      </c>
      <c r="L164" t="s">
        <v>103</v>
      </c>
      <c r="M164" s="1">
        <f>(orders[[#This Row],[Revenue]]-orders[[#This Row],[Cost]])</f>
        <v>136</v>
      </c>
      <c r="N164" s="8">
        <f>IFERROR(orders[[#This Row],[profit]]/orders[[#This Row],[Revenue]],0)</f>
        <v>0.50370370370370365</v>
      </c>
      <c r="O164" t="str">
        <f>IF(orders[[#This Row],[Delivery Date]]="","",(orders[[#This Row],[Delivery Date]]-orders[[#This Row],[Date]]))</f>
        <v/>
      </c>
      <c r="P164" t="str">
        <f>IF(orders[[#This Row],[delivery days]]="","Not Delivered",IF(orders[[#This Row],[delivery days]]&lt;=2,"Fast",IF(orders[[#This Row],[delivery days]]&lt;=5,"Normal","Delayed")))</f>
        <v>Not Delivered</v>
      </c>
    </row>
    <row r="165" spans="1:16" x14ac:dyDescent="0.25">
      <c r="A165" t="s">
        <v>295</v>
      </c>
      <c r="B165" s="5">
        <v>45723</v>
      </c>
      <c r="C165" t="s">
        <v>64</v>
      </c>
      <c r="D165" t="s">
        <v>235</v>
      </c>
      <c r="E165" t="s">
        <v>15</v>
      </c>
      <c r="F165">
        <v>2</v>
      </c>
      <c r="G165" s="1">
        <v>130</v>
      </c>
      <c r="H165" s="1">
        <v>63.24</v>
      </c>
      <c r="I165" s="5">
        <v>45724</v>
      </c>
      <c r="J165" t="s">
        <v>30</v>
      </c>
      <c r="K165" t="s">
        <v>35</v>
      </c>
      <c r="L165" t="s">
        <v>25</v>
      </c>
      <c r="M165" s="1">
        <f>(orders[[#This Row],[Revenue]]-orders[[#This Row],[Cost]])</f>
        <v>66.759999999999991</v>
      </c>
      <c r="N165" s="8">
        <f>IFERROR(orders[[#This Row],[profit]]/orders[[#This Row],[Revenue]],0)</f>
        <v>0.5135384615384615</v>
      </c>
      <c r="O165">
        <f>IF(orders[[#This Row],[Delivery Date]]="","",(orders[[#This Row],[Delivery Date]]-orders[[#This Row],[Date]]))</f>
        <v>1</v>
      </c>
      <c r="P165" t="str">
        <f>IF(orders[[#This Row],[delivery days]]="","Not Delivered",IF(orders[[#This Row],[delivery days]]&lt;=2,"Fast",IF(orders[[#This Row],[delivery days]]&lt;=5,"Normal","Delayed")))</f>
        <v>Fast</v>
      </c>
    </row>
    <row r="166" spans="1:16" x14ac:dyDescent="0.25">
      <c r="A166" t="s">
        <v>296</v>
      </c>
      <c r="B166" s="5">
        <v>45723</v>
      </c>
      <c r="C166" t="s">
        <v>75</v>
      </c>
      <c r="D166" t="s">
        <v>110</v>
      </c>
      <c r="E166" t="s">
        <v>39</v>
      </c>
      <c r="F166">
        <v>1</v>
      </c>
      <c r="G166" s="1">
        <v>210</v>
      </c>
      <c r="H166" s="1">
        <v>125</v>
      </c>
      <c r="I166" s="5">
        <v>45725</v>
      </c>
      <c r="J166" t="s">
        <v>30</v>
      </c>
      <c r="K166" t="s">
        <v>17</v>
      </c>
      <c r="L166" t="s">
        <v>25</v>
      </c>
      <c r="M166" s="1">
        <f>(orders[[#This Row],[Revenue]]-orders[[#This Row],[Cost]])</f>
        <v>85</v>
      </c>
      <c r="N166" s="8">
        <f>IFERROR(orders[[#This Row],[profit]]/orders[[#This Row],[Revenue]],0)</f>
        <v>0.40476190476190477</v>
      </c>
      <c r="O166">
        <f>IF(orders[[#This Row],[Delivery Date]]="","",(orders[[#This Row],[Delivery Date]]-orders[[#This Row],[Date]]))</f>
        <v>2</v>
      </c>
      <c r="P166" t="str">
        <f>IF(orders[[#This Row],[delivery days]]="","Not Delivered",IF(orders[[#This Row],[delivery days]]&lt;=2,"Fast",IF(orders[[#This Row],[delivery days]]&lt;=5,"Normal","Delayed")))</f>
        <v>Fast</v>
      </c>
    </row>
    <row r="167" spans="1:16" x14ac:dyDescent="0.25">
      <c r="A167" t="s">
        <v>297</v>
      </c>
      <c r="B167" s="5">
        <v>45723</v>
      </c>
      <c r="C167" t="s">
        <v>79</v>
      </c>
      <c r="D167" t="s">
        <v>38</v>
      </c>
      <c r="E167" t="s">
        <v>39</v>
      </c>
      <c r="F167">
        <v>1</v>
      </c>
      <c r="G167" s="1">
        <v>875.5</v>
      </c>
      <c r="H167" s="1">
        <v>610</v>
      </c>
      <c r="I167" s="5">
        <v>45724</v>
      </c>
      <c r="J167" t="s">
        <v>30</v>
      </c>
      <c r="K167" t="s">
        <v>35</v>
      </c>
      <c r="L167" t="s">
        <v>25</v>
      </c>
      <c r="M167" s="1">
        <f>(orders[[#This Row],[Revenue]]-orders[[#This Row],[Cost]])</f>
        <v>265.5</v>
      </c>
      <c r="N167" s="8">
        <f>IFERROR(orders[[#This Row],[profit]]/orders[[#This Row],[Revenue]],0)</f>
        <v>0.30325528269560253</v>
      </c>
      <c r="O167">
        <f>IF(orders[[#This Row],[Delivery Date]]="","",(orders[[#This Row],[Delivery Date]]-orders[[#This Row],[Date]]))</f>
        <v>1</v>
      </c>
      <c r="P167" t="str">
        <f>IF(orders[[#This Row],[delivery days]]="","Not Delivered",IF(orders[[#This Row],[delivery days]]&lt;=2,"Fast",IF(orders[[#This Row],[delivery days]]&lt;=5,"Normal","Delayed")))</f>
        <v>Fast</v>
      </c>
    </row>
    <row r="168" spans="1:16" x14ac:dyDescent="0.25">
      <c r="A168" t="s">
        <v>298</v>
      </c>
      <c r="B168" s="5">
        <v>45723</v>
      </c>
      <c r="C168" t="s">
        <v>171</v>
      </c>
      <c r="D168" t="s">
        <v>55</v>
      </c>
      <c r="E168" t="s">
        <v>39</v>
      </c>
      <c r="F168">
        <v>1</v>
      </c>
      <c r="G168" s="1">
        <v>420</v>
      </c>
      <c r="H168" s="1">
        <v>269.5</v>
      </c>
      <c r="I168" s="5">
        <v>45724</v>
      </c>
      <c r="J168" t="s">
        <v>101</v>
      </c>
      <c r="K168" t="s">
        <v>35</v>
      </c>
      <c r="L168" t="s">
        <v>25</v>
      </c>
      <c r="M168" s="1">
        <f>(orders[[#This Row],[Revenue]]-orders[[#This Row],[Cost]])</f>
        <v>150.5</v>
      </c>
      <c r="N168" s="8">
        <f>IFERROR(orders[[#This Row],[profit]]/orders[[#This Row],[Revenue]],0)</f>
        <v>0.35833333333333334</v>
      </c>
      <c r="O168">
        <f>IF(orders[[#This Row],[Delivery Date]]="","",(orders[[#This Row],[Delivery Date]]-orders[[#This Row],[Date]]))</f>
        <v>1</v>
      </c>
      <c r="P168" t="str">
        <f>IF(orders[[#This Row],[delivery days]]="","Not Delivered",IF(orders[[#This Row],[delivery days]]&lt;=2,"Fast",IF(orders[[#This Row],[delivery days]]&lt;=5,"Normal","Delayed")))</f>
        <v>Fast</v>
      </c>
    </row>
    <row r="169" spans="1:16" x14ac:dyDescent="0.25">
      <c r="A169" t="s">
        <v>299</v>
      </c>
      <c r="B169" s="5">
        <v>45723</v>
      </c>
      <c r="C169" t="s">
        <v>184</v>
      </c>
      <c r="D169" t="s">
        <v>300</v>
      </c>
      <c r="E169" t="s">
        <v>77</v>
      </c>
      <c r="F169">
        <v>5</v>
      </c>
      <c r="G169" s="1">
        <v>1950</v>
      </c>
      <c r="H169" s="1">
        <v>1249.5</v>
      </c>
      <c r="I169" s="5">
        <v>45725</v>
      </c>
      <c r="J169" t="s">
        <v>23</v>
      </c>
      <c r="K169" t="s">
        <v>17</v>
      </c>
      <c r="L169" t="s">
        <v>25</v>
      </c>
      <c r="M169" s="1">
        <f>(orders[[#This Row],[Revenue]]-orders[[#This Row],[Cost]])</f>
        <v>700.5</v>
      </c>
      <c r="N169" s="8">
        <f>IFERROR(orders[[#This Row],[profit]]/orders[[#This Row],[Revenue]],0)</f>
        <v>0.35923076923076924</v>
      </c>
      <c r="O169">
        <f>IF(orders[[#This Row],[Delivery Date]]="","",(orders[[#This Row],[Delivery Date]]-orders[[#This Row],[Date]]))</f>
        <v>2</v>
      </c>
      <c r="P169" t="str">
        <f>IF(orders[[#This Row],[delivery days]]="","Not Delivered",IF(orders[[#This Row],[delivery days]]&lt;=2,"Fast",IF(orders[[#This Row],[delivery days]]&lt;=5,"Normal","Delayed")))</f>
        <v>Fast</v>
      </c>
    </row>
    <row r="170" spans="1:16" x14ac:dyDescent="0.25">
      <c r="A170" t="s">
        <v>301</v>
      </c>
      <c r="B170" s="5">
        <v>45723</v>
      </c>
      <c r="C170" t="s">
        <v>90</v>
      </c>
      <c r="D170" t="s">
        <v>113</v>
      </c>
      <c r="E170" t="s">
        <v>15</v>
      </c>
      <c r="F170">
        <v>4</v>
      </c>
      <c r="G170" s="1">
        <v>349.6</v>
      </c>
      <c r="H170" s="1">
        <v>192</v>
      </c>
      <c r="I170" s="5">
        <v>45724</v>
      </c>
      <c r="J170" t="s">
        <v>30</v>
      </c>
      <c r="K170" t="s">
        <v>35</v>
      </c>
      <c r="L170" t="s">
        <v>25</v>
      </c>
      <c r="M170" s="1">
        <f>(orders[[#This Row],[Revenue]]-orders[[#This Row],[Cost]])</f>
        <v>157.60000000000002</v>
      </c>
      <c r="N170" s="8">
        <f>IFERROR(orders[[#This Row],[profit]]/orders[[#This Row],[Revenue]],0)</f>
        <v>0.45080091533180783</v>
      </c>
      <c r="O170">
        <f>IF(orders[[#This Row],[Delivery Date]]="","",(orders[[#This Row],[Delivery Date]]-orders[[#This Row],[Date]]))</f>
        <v>1</v>
      </c>
      <c r="P170" t="str">
        <f>IF(orders[[#This Row],[delivery days]]="","Not Delivered",IF(orders[[#This Row],[delivery days]]&lt;=2,"Fast",IF(orders[[#This Row],[delivery days]]&lt;=5,"Normal","Delayed")))</f>
        <v>Fast</v>
      </c>
    </row>
    <row r="171" spans="1:16" x14ac:dyDescent="0.25">
      <c r="A171" t="s">
        <v>302</v>
      </c>
      <c r="B171" s="5">
        <v>45723</v>
      </c>
      <c r="C171" t="s">
        <v>57</v>
      </c>
      <c r="D171" t="s">
        <v>270</v>
      </c>
      <c r="E171" t="s">
        <v>39</v>
      </c>
      <c r="F171">
        <v>1</v>
      </c>
      <c r="G171" s="1">
        <v>46.35</v>
      </c>
      <c r="H171" s="1">
        <v>22</v>
      </c>
      <c r="I171" s="5"/>
      <c r="J171" t="s">
        <v>46</v>
      </c>
      <c r="K171" t="s">
        <v>47</v>
      </c>
      <c r="L171" t="s">
        <v>103</v>
      </c>
      <c r="M171" s="1">
        <f>(orders[[#This Row],[Revenue]]-orders[[#This Row],[Cost]])</f>
        <v>24.35</v>
      </c>
      <c r="N171" s="8">
        <f>IFERROR(orders[[#This Row],[profit]]/orders[[#This Row],[Revenue]],0)</f>
        <v>0.52535059331175837</v>
      </c>
      <c r="O171" t="str">
        <f>IF(orders[[#This Row],[Delivery Date]]="","",(orders[[#This Row],[Delivery Date]]-orders[[#This Row],[Date]]))</f>
        <v/>
      </c>
      <c r="P171" t="str">
        <f>IF(orders[[#This Row],[delivery days]]="","Not Delivered",IF(orders[[#This Row],[delivery days]]&lt;=2,"Fast",IF(orders[[#This Row],[delivery days]]&lt;=5,"Normal","Delayed")))</f>
        <v>Not Delivered</v>
      </c>
    </row>
    <row r="172" spans="1:16" x14ac:dyDescent="0.25">
      <c r="A172" t="s">
        <v>303</v>
      </c>
      <c r="B172" s="5">
        <v>45724</v>
      </c>
      <c r="C172" t="s">
        <v>210</v>
      </c>
      <c r="D172" t="s">
        <v>113</v>
      </c>
      <c r="E172" t="s">
        <v>15</v>
      </c>
      <c r="F172">
        <v>1</v>
      </c>
      <c r="G172" s="1">
        <v>95</v>
      </c>
      <c r="H172" s="1">
        <v>48</v>
      </c>
      <c r="I172" s="5">
        <v>45728</v>
      </c>
      <c r="J172" t="s">
        <v>16</v>
      </c>
      <c r="K172" t="s">
        <v>35</v>
      </c>
      <c r="L172" t="s">
        <v>25</v>
      </c>
      <c r="M172" s="1">
        <f>(orders[[#This Row],[Revenue]]-orders[[#This Row],[Cost]])</f>
        <v>47</v>
      </c>
      <c r="N172" s="8">
        <f>IFERROR(orders[[#This Row],[profit]]/orders[[#This Row],[Revenue]],0)</f>
        <v>0.49473684210526314</v>
      </c>
      <c r="O172">
        <f>IF(orders[[#This Row],[Delivery Date]]="","",(orders[[#This Row],[Delivery Date]]-orders[[#This Row],[Date]]))</f>
        <v>4</v>
      </c>
      <c r="P172" t="str">
        <f>IF(orders[[#This Row],[delivery days]]="","Not Delivered",IF(orders[[#This Row],[delivery days]]&lt;=2,"Fast",IF(orders[[#This Row],[delivery days]]&lt;=5,"Normal","Delayed")))</f>
        <v>Normal</v>
      </c>
    </row>
    <row r="173" spans="1:16" x14ac:dyDescent="0.25">
      <c r="A173" t="s">
        <v>304</v>
      </c>
      <c r="B173" s="5">
        <v>45725</v>
      </c>
      <c r="C173" t="s">
        <v>161</v>
      </c>
      <c r="D173" t="s">
        <v>70</v>
      </c>
      <c r="E173" t="s">
        <v>62</v>
      </c>
      <c r="F173">
        <v>1</v>
      </c>
      <c r="G173" s="1">
        <v>130.94999999999999</v>
      </c>
      <c r="H173" s="1">
        <v>76.44</v>
      </c>
      <c r="I173" s="5">
        <v>45730</v>
      </c>
      <c r="J173" t="s">
        <v>101</v>
      </c>
      <c r="K173" t="s">
        <v>47</v>
      </c>
      <c r="L173" t="s">
        <v>25</v>
      </c>
      <c r="M173" s="1">
        <f>(orders[[#This Row],[Revenue]]-orders[[#This Row],[Cost]])</f>
        <v>54.509999999999991</v>
      </c>
      <c r="N173" s="8">
        <f>IFERROR(orders[[#This Row],[profit]]/orders[[#This Row],[Revenue]],0)</f>
        <v>0.41626575028636881</v>
      </c>
      <c r="O173">
        <f>IF(orders[[#This Row],[Delivery Date]]="","",(orders[[#This Row],[Delivery Date]]-orders[[#This Row],[Date]]))</f>
        <v>5</v>
      </c>
      <c r="P173" t="str">
        <f>IF(orders[[#This Row],[delivery days]]="","Not Delivered",IF(orders[[#This Row],[delivery days]]&lt;=2,"Fast",IF(orders[[#This Row],[delivery days]]&lt;=5,"Normal","Delayed")))</f>
        <v>Normal</v>
      </c>
    </row>
    <row r="174" spans="1:16" x14ac:dyDescent="0.25">
      <c r="A174" t="s">
        <v>305</v>
      </c>
      <c r="B174" s="5">
        <v>45725</v>
      </c>
      <c r="C174" t="s">
        <v>27</v>
      </c>
      <c r="D174" t="s">
        <v>129</v>
      </c>
      <c r="E174" t="s">
        <v>39</v>
      </c>
      <c r="F174">
        <v>2</v>
      </c>
      <c r="G174" s="1">
        <v>247.2</v>
      </c>
      <c r="H174" s="1">
        <v>136</v>
      </c>
      <c r="I174" s="5"/>
      <c r="J174" t="s">
        <v>16</v>
      </c>
      <c r="K174" t="s">
        <v>17</v>
      </c>
      <c r="L174" t="s">
        <v>103</v>
      </c>
      <c r="M174" s="1">
        <f>(orders[[#This Row],[Revenue]]-orders[[#This Row],[Cost]])</f>
        <v>111.19999999999999</v>
      </c>
      <c r="N174" s="8">
        <f>IFERROR(orders[[#This Row],[profit]]/orders[[#This Row],[Revenue]],0)</f>
        <v>0.44983818770226536</v>
      </c>
      <c r="O174" t="str">
        <f>IF(orders[[#This Row],[Delivery Date]]="","",(orders[[#This Row],[Delivery Date]]-orders[[#This Row],[Date]]))</f>
        <v/>
      </c>
      <c r="P174" t="str">
        <f>IF(orders[[#This Row],[delivery days]]="","Not Delivered",IF(orders[[#This Row],[delivery days]]&lt;=2,"Fast",IF(orders[[#This Row],[delivery days]]&lt;=5,"Normal","Delayed")))</f>
        <v>Not Delivered</v>
      </c>
    </row>
    <row r="175" spans="1:16" x14ac:dyDescent="0.25">
      <c r="A175" t="s">
        <v>306</v>
      </c>
      <c r="B175" s="5">
        <v>45725</v>
      </c>
      <c r="C175" t="s">
        <v>155</v>
      </c>
      <c r="D175" t="s">
        <v>33</v>
      </c>
      <c r="E175" t="s">
        <v>34</v>
      </c>
      <c r="F175">
        <v>1</v>
      </c>
      <c r="G175" s="1">
        <v>58</v>
      </c>
      <c r="H175" s="1">
        <v>24.5</v>
      </c>
      <c r="I175" s="5">
        <v>45730</v>
      </c>
      <c r="J175" t="s">
        <v>23</v>
      </c>
      <c r="K175" t="s">
        <v>24</v>
      </c>
      <c r="L175" t="s">
        <v>25</v>
      </c>
      <c r="M175" s="1">
        <f>(orders[[#This Row],[Revenue]]-orders[[#This Row],[Cost]])</f>
        <v>33.5</v>
      </c>
      <c r="N175" s="8">
        <f>IFERROR(orders[[#This Row],[profit]]/orders[[#This Row],[Revenue]],0)</f>
        <v>0.57758620689655171</v>
      </c>
      <c r="O175">
        <f>IF(orders[[#This Row],[Delivery Date]]="","",(orders[[#This Row],[Delivery Date]]-orders[[#This Row],[Date]]))</f>
        <v>5</v>
      </c>
      <c r="P175" t="str">
        <f>IF(orders[[#This Row],[delivery days]]="","Not Delivered",IF(orders[[#This Row],[delivery days]]&lt;=2,"Fast",IF(orders[[#This Row],[delivery days]]&lt;=5,"Normal","Delayed")))</f>
        <v>Normal</v>
      </c>
    </row>
    <row r="176" spans="1:16" x14ac:dyDescent="0.25">
      <c r="A176" t="s">
        <v>307</v>
      </c>
      <c r="B176" s="5">
        <v>45726</v>
      </c>
      <c r="C176" t="s">
        <v>161</v>
      </c>
      <c r="D176" t="s">
        <v>308</v>
      </c>
      <c r="E176" t="s">
        <v>22</v>
      </c>
      <c r="F176">
        <v>2</v>
      </c>
      <c r="G176" s="1">
        <v>150</v>
      </c>
      <c r="H176" s="1">
        <v>68</v>
      </c>
      <c r="I176" s="5">
        <v>45727</v>
      </c>
      <c r="J176" t="s">
        <v>30</v>
      </c>
      <c r="K176" t="s">
        <v>35</v>
      </c>
      <c r="L176" t="s">
        <v>25</v>
      </c>
      <c r="M176" s="1">
        <f>(orders[[#This Row],[Revenue]]-orders[[#This Row],[Cost]])</f>
        <v>82</v>
      </c>
      <c r="N176" s="8">
        <f>IFERROR(orders[[#This Row],[profit]]/orders[[#This Row],[Revenue]],0)</f>
        <v>0.54666666666666663</v>
      </c>
      <c r="O176">
        <f>IF(orders[[#This Row],[Delivery Date]]="","",(orders[[#This Row],[Delivery Date]]-orders[[#This Row],[Date]]))</f>
        <v>1</v>
      </c>
      <c r="P176" t="str">
        <f>IF(orders[[#This Row],[delivery days]]="","Not Delivered",IF(orders[[#This Row],[delivery days]]&lt;=2,"Fast",IF(orders[[#This Row],[delivery days]]&lt;=5,"Normal","Delayed")))</f>
        <v>Fast</v>
      </c>
    </row>
    <row r="177" spans="1:16" x14ac:dyDescent="0.25">
      <c r="A177" t="s">
        <v>309</v>
      </c>
      <c r="B177" s="5">
        <v>45726</v>
      </c>
      <c r="C177" t="s">
        <v>88</v>
      </c>
      <c r="D177" t="s">
        <v>33</v>
      </c>
      <c r="E177" t="s">
        <v>34</v>
      </c>
      <c r="F177">
        <v>1</v>
      </c>
      <c r="G177" s="1">
        <v>58</v>
      </c>
      <c r="H177" s="1">
        <v>25</v>
      </c>
      <c r="I177" s="5">
        <v>45729</v>
      </c>
      <c r="J177" t="s">
        <v>23</v>
      </c>
      <c r="K177" t="s">
        <v>24</v>
      </c>
      <c r="L177" t="s">
        <v>18</v>
      </c>
      <c r="M177" s="1">
        <f>(orders[[#This Row],[Revenue]]-orders[[#This Row],[Cost]])</f>
        <v>33</v>
      </c>
      <c r="N177" s="8">
        <f>IFERROR(orders[[#This Row],[profit]]/orders[[#This Row],[Revenue]],0)</f>
        <v>0.56896551724137934</v>
      </c>
      <c r="O177">
        <f>IF(orders[[#This Row],[Delivery Date]]="","",(orders[[#This Row],[Delivery Date]]-orders[[#This Row],[Date]]))</f>
        <v>3</v>
      </c>
      <c r="P177" t="str">
        <f>IF(orders[[#This Row],[delivery days]]="","Not Delivered",IF(orders[[#This Row],[delivery days]]&lt;=2,"Fast",IF(orders[[#This Row],[delivery days]]&lt;=5,"Normal","Delayed")))</f>
        <v>Normal</v>
      </c>
    </row>
    <row r="178" spans="1:16" x14ac:dyDescent="0.25">
      <c r="A178" t="s">
        <v>310</v>
      </c>
      <c r="B178" s="5">
        <v>45726</v>
      </c>
      <c r="C178" t="s">
        <v>112</v>
      </c>
      <c r="D178" t="s">
        <v>159</v>
      </c>
      <c r="E178" t="s">
        <v>39</v>
      </c>
      <c r="F178">
        <v>2</v>
      </c>
      <c r="G178" s="1">
        <v>226.6</v>
      </c>
      <c r="H178" s="1">
        <v>124</v>
      </c>
      <c r="I178" s="5">
        <v>45729</v>
      </c>
      <c r="J178" t="s">
        <v>52</v>
      </c>
      <c r="K178" t="s">
        <v>47</v>
      </c>
      <c r="L178" t="s">
        <v>25</v>
      </c>
      <c r="M178" s="1">
        <f>(orders[[#This Row],[Revenue]]-orders[[#This Row],[Cost]])</f>
        <v>102.6</v>
      </c>
      <c r="N178" s="8">
        <f>IFERROR(orders[[#This Row],[profit]]/orders[[#This Row],[Revenue]],0)</f>
        <v>0.45278022947925861</v>
      </c>
      <c r="O178">
        <f>IF(orders[[#This Row],[Delivery Date]]="","",(orders[[#This Row],[Delivery Date]]-orders[[#This Row],[Date]]))</f>
        <v>3</v>
      </c>
      <c r="P178" t="str">
        <f>IF(orders[[#This Row],[delivery days]]="","Not Delivered",IF(orders[[#This Row],[delivery days]]&lt;=2,"Fast",IF(orders[[#This Row],[delivery days]]&lt;=5,"Normal","Delayed")))</f>
        <v>Normal</v>
      </c>
    </row>
    <row r="179" spans="1:16" x14ac:dyDescent="0.25">
      <c r="A179" t="s">
        <v>311</v>
      </c>
      <c r="B179" s="5">
        <v>45727</v>
      </c>
      <c r="C179" t="s">
        <v>204</v>
      </c>
      <c r="D179" t="s">
        <v>45</v>
      </c>
      <c r="E179" t="s">
        <v>34</v>
      </c>
      <c r="F179">
        <v>4</v>
      </c>
      <c r="G179" s="1">
        <v>296.64</v>
      </c>
      <c r="H179" s="1">
        <v>124</v>
      </c>
      <c r="I179" s="5"/>
      <c r="J179" t="s">
        <v>23</v>
      </c>
      <c r="K179" t="s">
        <v>24</v>
      </c>
      <c r="L179" t="s">
        <v>42</v>
      </c>
      <c r="M179" s="1">
        <f>(orders[[#This Row],[Revenue]]-orders[[#This Row],[Cost]])</f>
        <v>172.64</v>
      </c>
      <c r="N179" s="8">
        <f>IFERROR(orders[[#This Row],[profit]]/orders[[#This Row],[Revenue]],0)</f>
        <v>0.58198489751887805</v>
      </c>
      <c r="O179" t="str">
        <f>IF(orders[[#This Row],[Delivery Date]]="","",(orders[[#This Row],[Delivery Date]]-orders[[#This Row],[Date]]))</f>
        <v/>
      </c>
      <c r="P179" t="str">
        <f>IF(orders[[#This Row],[delivery days]]="","Not Delivered",IF(orders[[#This Row],[delivery days]]&lt;=2,"Fast",IF(orders[[#This Row],[delivery days]]&lt;=5,"Normal","Delayed")))</f>
        <v>Not Delivered</v>
      </c>
    </row>
    <row r="180" spans="1:16" x14ac:dyDescent="0.25">
      <c r="A180" t="s">
        <v>312</v>
      </c>
      <c r="B180" s="5">
        <v>45728</v>
      </c>
      <c r="C180" t="s">
        <v>132</v>
      </c>
      <c r="D180" t="s">
        <v>270</v>
      </c>
      <c r="E180" t="s">
        <v>39</v>
      </c>
      <c r="F180">
        <v>1</v>
      </c>
      <c r="G180" s="1">
        <v>45</v>
      </c>
      <c r="H180" s="1">
        <v>22</v>
      </c>
      <c r="I180" s="5">
        <v>45731</v>
      </c>
      <c r="J180" t="s">
        <v>16</v>
      </c>
      <c r="K180" t="s">
        <v>17</v>
      </c>
      <c r="L180" t="s">
        <v>25</v>
      </c>
      <c r="M180" s="1">
        <f>(orders[[#This Row],[Revenue]]-orders[[#This Row],[Cost]])</f>
        <v>23</v>
      </c>
      <c r="N180" s="8">
        <f>IFERROR(orders[[#This Row],[profit]]/orders[[#This Row],[Revenue]],0)</f>
        <v>0.51111111111111107</v>
      </c>
      <c r="O180">
        <f>IF(orders[[#This Row],[Delivery Date]]="","",(orders[[#This Row],[Delivery Date]]-orders[[#This Row],[Date]]))</f>
        <v>3</v>
      </c>
      <c r="P180" t="str">
        <f>IF(orders[[#This Row],[delivery days]]="","Not Delivered",IF(orders[[#This Row],[delivery days]]&lt;=2,"Fast",IF(orders[[#This Row],[delivery days]]&lt;=5,"Normal","Delayed")))</f>
        <v>Normal</v>
      </c>
    </row>
    <row r="181" spans="1:16" x14ac:dyDescent="0.25">
      <c r="A181" t="s">
        <v>313</v>
      </c>
      <c r="B181" s="5">
        <v>45728</v>
      </c>
      <c r="C181" t="s">
        <v>112</v>
      </c>
      <c r="D181" t="s">
        <v>51</v>
      </c>
      <c r="E181" t="s">
        <v>34</v>
      </c>
      <c r="F181">
        <v>1</v>
      </c>
      <c r="G181" s="1">
        <v>85</v>
      </c>
      <c r="H181" s="1">
        <v>42.84</v>
      </c>
      <c r="I181" s="5">
        <v>45733</v>
      </c>
      <c r="J181" t="s">
        <v>52</v>
      </c>
      <c r="K181" t="s">
        <v>47</v>
      </c>
      <c r="L181" t="s">
        <v>25</v>
      </c>
      <c r="M181" s="1">
        <f>(orders[[#This Row],[Revenue]]-orders[[#This Row],[Cost]])</f>
        <v>42.16</v>
      </c>
      <c r="N181" s="8">
        <f>IFERROR(orders[[#This Row],[profit]]/orders[[#This Row],[Revenue]],0)</f>
        <v>0.49599999999999994</v>
      </c>
      <c r="O181">
        <f>IF(orders[[#This Row],[Delivery Date]]="","",(orders[[#This Row],[Delivery Date]]-orders[[#This Row],[Date]]))</f>
        <v>5</v>
      </c>
      <c r="P181" t="str">
        <f>IF(orders[[#This Row],[delivery days]]="","Not Delivered",IF(orders[[#This Row],[delivery days]]&lt;=2,"Fast",IF(orders[[#This Row],[delivery days]]&lt;=5,"Normal","Delayed")))</f>
        <v>Normal</v>
      </c>
    </row>
    <row r="182" spans="1:16" x14ac:dyDescent="0.25">
      <c r="A182" t="s">
        <v>314</v>
      </c>
      <c r="B182" s="5">
        <v>45729</v>
      </c>
      <c r="C182" t="s">
        <v>278</v>
      </c>
      <c r="D182" t="s">
        <v>146</v>
      </c>
      <c r="E182" t="s">
        <v>22</v>
      </c>
      <c r="F182">
        <v>3</v>
      </c>
      <c r="G182" s="1">
        <v>264</v>
      </c>
      <c r="H182" s="1">
        <v>132.30000000000001</v>
      </c>
      <c r="I182" s="5">
        <v>45736</v>
      </c>
      <c r="J182" t="s">
        <v>52</v>
      </c>
      <c r="K182" t="s">
        <v>24</v>
      </c>
      <c r="L182" t="s">
        <v>25</v>
      </c>
      <c r="M182" s="1">
        <f>(orders[[#This Row],[Revenue]]-orders[[#This Row],[Cost]])</f>
        <v>131.69999999999999</v>
      </c>
      <c r="N182" s="8">
        <f>IFERROR(orders[[#This Row],[profit]]/orders[[#This Row],[Revenue]],0)</f>
        <v>0.49886363636363634</v>
      </c>
      <c r="O182">
        <f>IF(orders[[#This Row],[Delivery Date]]="","",(orders[[#This Row],[Delivery Date]]-orders[[#This Row],[Date]]))</f>
        <v>7</v>
      </c>
      <c r="P182" t="str">
        <f>IF(orders[[#This Row],[delivery days]]="","Not Delivered",IF(orders[[#This Row],[delivery days]]&lt;=2,"Fast",IF(orders[[#This Row],[delivery days]]&lt;=5,"Normal","Delayed")))</f>
        <v>Delayed</v>
      </c>
    </row>
    <row r="183" spans="1:16" x14ac:dyDescent="0.25">
      <c r="A183" t="s">
        <v>315</v>
      </c>
      <c r="B183" s="5">
        <v>45729</v>
      </c>
      <c r="C183" t="s">
        <v>316</v>
      </c>
      <c r="D183" t="s">
        <v>266</v>
      </c>
      <c r="E183" t="s">
        <v>22</v>
      </c>
      <c r="F183">
        <v>1</v>
      </c>
      <c r="G183" s="1">
        <v>18</v>
      </c>
      <c r="H183" s="1">
        <v>6.86</v>
      </c>
      <c r="I183" s="5"/>
      <c r="J183" t="s">
        <v>16</v>
      </c>
      <c r="K183" t="s">
        <v>17</v>
      </c>
      <c r="L183" t="s">
        <v>103</v>
      </c>
      <c r="M183" s="1">
        <f>(orders[[#This Row],[Revenue]]-orders[[#This Row],[Cost]])</f>
        <v>11.14</v>
      </c>
      <c r="N183" s="8">
        <f>IFERROR(orders[[#This Row],[profit]]/orders[[#This Row],[Revenue]],0)</f>
        <v>0.61888888888888893</v>
      </c>
      <c r="O183" t="str">
        <f>IF(orders[[#This Row],[Delivery Date]]="","",(orders[[#This Row],[Delivery Date]]-orders[[#This Row],[Date]]))</f>
        <v/>
      </c>
      <c r="P183" t="str">
        <f>IF(orders[[#This Row],[delivery days]]="","Not Delivered",IF(orders[[#This Row],[delivery days]]&lt;=2,"Fast",IF(orders[[#This Row],[delivery days]]&lt;=5,"Normal","Delayed")))</f>
        <v>Not Delivered</v>
      </c>
    </row>
    <row r="184" spans="1:16" x14ac:dyDescent="0.25">
      <c r="A184" t="s">
        <v>317</v>
      </c>
      <c r="B184" s="5">
        <v>45730</v>
      </c>
      <c r="C184" t="s">
        <v>37</v>
      </c>
      <c r="D184" t="s">
        <v>177</v>
      </c>
      <c r="E184" t="s">
        <v>34</v>
      </c>
      <c r="F184">
        <v>5</v>
      </c>
      <c r="G184" s="1">
        <v>725</v>
      </c>
      <c r="H184" s="1">
        <v>390</v>
      </c>
      <c r="I184" s="5">
        <v>45733</v>
      </c>
      <c r="J184" t="s">
        <v>30</v>
      </c>
      <c r="K184" t="s">
        <v>17</v>
      </c>
      <c r="L184" t="s">
        <v>18</v>
      </c>
      <c r="M184" s="1">
        <f>(orders[[#This Row],[Revenue]]-orders[[#This Row],[Cost]])</f>
        <v>335</v>
      </c>
      <c r="N184" s="8">
        <f>IFERROR(orders[[#This Row],[profit]]/orders[[#This Row],[Revenue]],0)</f>
        <v>0.46206896551724136</v>
      </c>
      <c r="O184">
        <f>IF(orders[[#This Row],[Delivery Date]]="","",(orders[[#This Row],[Delivery Date]]-orders[[#This Row],[Date]]))</f>
        <v>3</v>
      </c>
      <c r="P184" t="str">
        <f>IF(orders[[#This Row],[delivery days]]="","Not Delivered",IF(orders[[#This Row],[delivery days]]&lt;=2,"Fast",IF(orders[[#This Row],[delivery days]]&lt;=5,"Normal","Delayed")))</f>
        <v>Normal</v>
      </c>
    </row>
    <row r="185" spans="1:16" x14ac:dyDescent="0.25">
      <c r="A185" t="s">
        <v>318</v>
      </c>
      <c r="B185" s="5">
        <v>45730</v>
      </c>
      <c r="C185" t="s">
        <v>79</v>
      </c>
      <c r="D185" t="s">
        <v>21</v>
      </c>
      <c r="E185" t="s">
        <v>22</v>
      </c>
      <c r="F185">
        <v>1</v>
      </c>
      <c r="G185" s="1">
        <v>32</v>
      </c>
      <c r="H185" s="1">
        <v>13</v>
      </c>
      <c r="I185" s="5">
        <v>45734</v>
      </c>
      <c r="J185" t="s">
        <v>46</v>
      </c>
      <c r="K185" t="s">
        <v>47</v>
      </c>
      <c r="L185" t="s">
        <v>25</v>
      </c>
      <c r="M185" s="1">
        <f>(orders[[#This Row],[Revenue]]-orders[[#This Row],[Cost]])</f>
        <v>19</v>
      </c>
      <c r="N185" s="8">
        <f>IFERROR(orders[[#This Row],[profit]]/orders[[#This Row],[Revenue]],0)</f>
        <v>0.59375</v>
      </c>
      <c r="O185">
        <f>IF(orders[[#This Row],[Delivery Date]]="","",(orders[[#This Row],[Delivery Date]]-orders[[#This Row],[Date]]))</f>
        <v>4</v>
      </c>
      <c r="P185" t="str">
        <f>IF(orders[[#This Row],[delivery days]]="","Not Delivered",IF(orders[[#This Row],[delivery days]]&lt;=2,"Fast",IF(orders[[#This Row],[delivery days]]&lt;=5,"Normal","Delayed")))</f>
        <v>Normal</v>
      </c>
    </row>
    <row r="186" spans="1:16" x14ac:dyDescent="0.25">
      <c r="A186" t="s">
        <v>319</v>
      </c>
      <c r="B186" s="5">
        <v>45730</v>
      </c>
      <c r="C186" t="s">
        <v>149</v>
      </c>
      <c r="D186" t="s">
        <v>21</v>
      </c>
      <c r="E186" t="s">
        <v>22</v>
      </c>
      <c r="F186">
        <v>1</v>
      </c>
      <c r="G186" s="1">
        <v>34.56</v>
      </c>
      <c r="H186" s="1">
        <v>13.26</v>
      </c>
      <c r="I186" s="5"/>
      <c r="J186" t="s">
        <v>46</v>
      </c>
      <c r="K186" t="s">
        <v>47</v>
      </c>
      <c r="L186" t="s">
        <v>42</v>
      </c>
      <c r="M186" s="1">
        <f>(orders[[#This Row],[Revenue]]-orders[[#This Row],[Cost]])</f>
        <v>21.300000000000004</v>
      </c>
      <c r="N186" s="8">
        <f>IFERROR(orders[[#This Row],[profit]]/orders[[#This Row],[Revenue]],0)</f>
        <v>0.61631944444444453</v>
      </c>
      <c r="O186" t="str">
        <f>IF(orders[[#This Row],[Delivery Date]]="","",(orders[[#This Row],[Delivery Date]]-orders[[#This Row],[Date]]))</f>
        <v/>
      </c>
      <c r="P186" t="str">
        <f>IF(orders[[#This Row],[delivery days]]="","Not Delivered",IF(orders[[#This Row],[delivery days]]&lt;=2,"Fast",IF(orders[[#This Row],[delivery days]]&lt;=5,"Normal","Delayed")))</f>
        <v>Not Delivered</v>
      </c>
    </row>
    <row r="187" spans="1:16" x14ac:dyDescent="0.25">
      <c r="A187" t="s">
        <v>320</v>
      </c>
      <c r="B187" s="5">
        <v>45730</v>
      </c>
      <c r="C187" t="s">
        <v>228</v>
      </c>
      <c r="D187" t="s">
        <v>125</v>
      </c>
      <c r="E187" t="s">
        <v>62</v>
      </c>
      <c r="F187">
        <v>1</v>
      </c>
      <c r="G187" s="1">
        <v>149.35</v>
      </c>
      <c r="H187" s="1">
        <v>80.36</v>
      </c>
      <c r="I187" s="5"/>
      <c r="J187" t="s">
        <v>52</v>
      </c>
      <c r="K187" t="s">
        <v>47</v>
      </c>
      <c r="L187" t="s">
        <v>103</v>
      </c>
      <c r="M187" s="1">
        <f>(orders[[#This Row],[Revenue]]-orders[[#This Row],[Cost]])</f>
        <v>68.989999999999995</v>
      </c>
      <c r="N187" s="8">
        <f>IFERROR(orders[[#This Row],[profit]]/orders[[#This Row],[Revenue]],0)</f>
        <v>0.46193505189152995</v>
      </c>
      <c r="O187" t="str">
        <f>IF(orders[[#This Row],[Delivery Date]]="","",(orders[[#This Row],[Delivery Date]]-orders[[#This Row],[Date]]))</f>
        <v/>
      </c>
      <c r="P187" t="str">
        <f>IF(orders[[#This Row],[delivery days]]="","Not Delivered",IF(orders[[#This Row],[delivery days]]&lt;=2,"Fast",IF(orders[[#This Row],[delivery days]]&lt;=5,"Normal","Delayed")))</f>
        <v>Not Delivered</v>
      </c>
    </row>
    <row r="188" spans="1:16" x14ac:dyDescent="0.25">
      <c r="A188" t="s">
        <v>321</v>
      </c>
      <c r="B188" s="5">
        <v>45731</v>
      </c>
      <c r="C188" t="s">
        <v>64</v>
      </c>
      <c r="D188" t="s">
        <v>153</v>
      </c>
      <c r="E188" t="s">
        <v>34</v>
      </c>
      <c r="F188">
        <v>2</v>
      </c>
      <c r="G188" s="1">
        <v>125.12</v>
      </c>
      <c r="H188" s="1">
        <v>64</v>
      </c>
      <c r="I188" s="5">
        <v>45735</v>
      </c>
      <c r="J188" t="s">
        <v>101</v>
      </c>
      <c r="K188" t="s">
        <v>47</v>
      </c>
      <c r="L188" t="s">
        <v>25</v>
      </c>
      <c r="M188" s="1">
        <f>(orders[[#This Row],[Revenue]]-orders[[#This Row],[Cost]])</f>
        <v>61.120000000000005</v>
      </c>
      <c r="N188" s="8">
        <f>IFERROR(orders[[#This Row],[profit]]/orders[[#This Row],[Revenue]],0)</f>
        <v>0.48849104859335041</v>
      </c>
      <c r="O188">
        <f>IF(orders[[#This Row],[Delivery Date]]="","",(orders[[#This Row],[Delivery Date]]-orders[[#This Row],[Date]]))</f>
        <v>4</v>
      </c>
      <c r="P188" t="str">
        <f>IF(orders[[#This Row],[delivery days]]="","Not Delivered",IF(orders[[#This Row],[delivery days]]&lt;=2,"Fast",IF(orders[[#This Row],[delivery days]]&lt;=5,"Normal","Delayed")))</f>
        <v>Normal</v>
      </c>
    </row>
    <row r="189" spans="1:16" x14ac:dyDescent="0.25">
      <c r="A189" t="s">
        <v>322</v>
      </c>
      <c r="B189" s="5">
        <v>45731</v>
      </c>
      <c r="C189" t="s">
        <v>64</v>
      </c>
      <c r="D189" t="s">
        <v>153</v>
      </c>
      <c r="E189" t="s">
        <v>34</v>
      </c>
      <c r="F189">
        <v>2</v>
      </c>
      <c r="G189" s="1">
        <v>136</v>
      </c>
      <c r="H189" s="1">
        <v>64</v>
      </c>
      <c r="I189" s="5">
        <v>45734</v>
      </c>
      <c r="J189" t="s">
        <v>46</v>
      </c>
      <c r="K189" t="s">
        <v>47</v>
      </c>
      <c r="L189" t="s">
        <v>25</v>
      </c>
      <c r="M189" s="1">
        <f>(orders[[#This Row],[Revenue]]-orders[[#This Row],[Cost]])</f>
        <v>72</v>
      </c>
      <c r="N189" s="8">
        <f>IFERROR(orders[[#This Row],[profit]]/orders[[#This Row],[Revenue]],0)</f>
        <v>0.52941176470588236</v>
      </c>
      <c r="O189">
        <f>IF(orders[[#This Row],[Delivery Date]]="","",(orders[[#This Row],[Delivery Date]]-orders[[#This Row],[Date]]))</f>
        <v>3</v>
      </c>
      <c r="P189" t="str">
        <f>IF(orders[[#This Row],[delivery days]]="","Not Delivered",IF(orders[[#This Row],[delivery days]]&lt;=2,"Fast",IF(orders[[#This Row],[delivery days]]&lt;=5,"Normal","Delayed")))</f>
        <v>Normal</v>
      </c>
    </row>
    <row r="190" spans="1:16" x14ac:dyDescent="0.25">
      <c r="A190" t="s">
        <v>323</v>
      </c>
      <c r="B190" s="5">
        <v>45731</v>
      </c>
      <c r="C190" t="s">
        <v>269</v>
      </c>
      <c r="D190" t="s">
        <v>86</v>
      </c>
      <c r="E190" t="s">
        <v>29</v>
      </c>
      <c r="F190">
        <v>2</v>
      </c>
      <c r="G190" s="1">
        <v>56.26</v>
      </c>
      <c r="H190" s="1">
        <v>24</v>
      </c>
      <c r="I190" s="5">
        <v>45732</v>
      </c>
      <c r="J190" t="s">
        <v>30</v>
      </c>
      <c r="K190" t="s">
        <v>17</v>
      </c>
      <c r="L190" t="s">
        <v>25</v>
      </c>
      <c r="M190" s="1">
        <f>(orders[[#This Row],[Revenue]]-orders[[#This Row],[Cost]])</f>
        <v>32.26</v>
      </c>
      <c r="N190" s="8">
        <f>IFERROR(orders[[#This Row],[profit]]/orders[[#This Row],[Revenue]],0)</f>
        <v>0.57340917170280836</v>
      </c>
      <c r="O190">
        <f>IF(orders[[#This Row],[Delivery Date]]="","",(orders[[#This Row],[Delivery Date]]-orders[[#This Row],[Date]]))</f>
        <v>1</v>
      </c>
      <c r="P190" t="str">
        <f>IF(orders[[#This Row],[delivery days]]="","Not Delivered",IF(orders[[#This Row],[delivery days]]&lt;=2,"Fast",IF(orders[[#This Row],[delivery days]]&lt;=5,"Normal","Delayed")))</f>
        <v>Fast</v>
      </c>
    </row>
    <row r="191" spans="1:16" x14ac:dyDescent="0.25">
      <c r="A191" t="s">
        <v>324</v>
      </c>
      <c r="B191" s="5">
        <v>45731</v>
      </c>
      <c r="C191" t="s">
        <v>325</v>
      </c>
      <c r="D191" t="s">
        <v>14</v>
      </c>
      <c r="E191" t="s">
        <v>15</v>
      </c>
      <c r="F191">
        <v>5</v>
      </c>
      <c r="G191" s="1">
        <v>125</v>
      </c>
      <c r="H191" s="1">
        <v>45</v>
      </c>
      <c r="I191" s="5">
        <v>45737</v>
      </c>
      <c r="J191" t="s">
        <v>52</v>
      </c>
      <c r="K191" t="s">
        <v>47</v>
      </c>
      <c r="L191" t="s">
        <v>25</v>
      </c>
      <c r="M191" s="1">
        <f>(orders[[#This Row],[Revenue]]-orders[[#This Row],[Cost]])</f>
        <v>80</v>
      </c>
      <c r="N191" s="8">
        <f>IFERROR(orders[[#This Row],[profit]]/orders[[#This Row],[Revenue]],0)</f>
        <v>0.64</v>
      </c>
      <c r="O191">
        <f>IF(orders[[#This Row],[Delivery Date]]="","",(orders[[#This Row],[Delivery Date]]-orders[[#This Row],[Date]]))</f>
        <v>6</v>
      </c>
      <c r="P191" t="str">
        <f>IF(orders[[#This Row],[delivery days]]="","Not Delivered",IF(orders[[#This Row],[delivery days]]&lt;=2,"Fast",IF(orders[[#This Row],[delivery days]]&lt;=5,"Normal","Delayed")))</f>
        <v>Delayed</v>
      </c>
    </row>
    <row r="192" spans="1:16" x14ac:dyDescent="0.25">
      <c r="A192" t="s">
        <v>326</v>
      </c>
      <c r="B192" s="5">
        <v>45731</v>
      </c>
      <c r="C192" t="s">
        <v>132</v>
      </c>
      <c r="D192" t="s">
        <v>113</v>
      </c>
      <c r="E192" t="s">
        <v>15</v>
      </c>
      <c r="F192">
        <v>1</v>
      </c>
      <c r="G192" s="1">
        <v>92.15</v>
      </c>
      <c r="H192" s="1">
        <v>48</v>
      </c>
      <c r="I192" s="5">
        <v>45734</v>
      </c>
      <c r="J192" t="s">
        <v>23</v>
      </c>
      <c r="K192" t="s">
        <v>24</v>
      </c>
      <c r="L192" t="s">
        <v>25</v>
      </c>
      <c r="M192" s="1">
        <f>(orders[[#This Row],[Revenue]]-orders[[#This Row],[Cost]])</f>
        <v>44.150000000000006</v>
      </c>
      <c r="N192" s="8">
        <f>IFERROR(orders[[#This Row],[profit]]/orders[[#This Row],[Revenue]],0)</f>
        <v>0.47911014650027134</v>
      </c>
      <c r="O192">
        <f>IF(orders[[#This Row],[Delivery Date]]="","",(orders[[#This Row],[Delivery Date]]-orders[[#This Row],[Date]]))</f>
        <v>3</v>
      </c>
      <c r="P192" t="str">
        <f>IF(orders[[#This Row],[delivery days]]="","Not Delivered",IF(orders[[#This Row],[delivery days]]&lt;=2,"Fast",IF(orders[[#This Row],[delivery days]]&lt;=5,"Normal","Delayed")))</f>
        <v>Normal</v>
      </c>
    </row>
    <row r="193" spans="1:16" x14ac:dyDescent="0.25">
      <c r="A193" t="s">
        <v>327</v>
      </c>
      <c r="B193" s="5">
        <v>45732</v>
      </c>
      <c r="C193" t="s">
        <v>204</v>
      </c>
      <c r="D193" t="s">
        <v>177</v>
      </c>
      <c r="E193" t="s">
        <v>34</v>
      </c>
      <c r="F193">
        <v>2</v>
      </c>
      <c r="G193" s="1">
        <v>281.3</v>
      </c>
      <c r="H193" s="1">
        <v>152.88</v>
      </c>
      <c r="I193" s="5">
        <v>45734</v>
      </c>
      <c r="J193" t="s">
        <v>30</v>
      </c>
      <c r="K193" t="s">
        <v>35</v>
      </c>
      <c r="L193" t="s">
        <v>25</v>
      </c>
      <c r="M193" s="1">
        <f>(orders[[#This Row],[Revenue]]-orders[[#This Row],[Cost]])</f>
        <v>128.42000000000002</v>
      </c>
      <c r="N193" s="8">
        <f>IFERROR(orders[[#This Row],[profit]]/orders[[#This Row],[Revenue]],0)</f>
        <v>0.45652328474937792</v>
      </c>
      <c r="O193">
        <f>IF(orders[[#This Row],[Delivery Date]]="","",(orders[[#This Row],[Delivery Date]]-orders[[#This Row],[Date]]))</f>
        <v>2</v>
      </c>
      <c r="P193" t="str">
        <f>IF(orders[[#This Row],[delivery days]]="","Not Delivered",IF(orders[[#This Row],[delivery days]]&lt;=2,"Fast",IF(orders[[#This Row],[delivery days]]&lt;=5,"Normal","Delayed")))</f>
        <v>Fast</v>
      </c>
    </row>
    <row r="194" spans="1:16" x14ac:dyDescent="0.25">
      <c r="A194" t="s">
        <v>328</v>
      </c>
      <c r="B194" s="5">
        <v>45733</v>
      </c>
      <c r="C194" t="s">
        <v>60</v>
      </c>
      <c r="D194" t="s">
        <v>58</v>
      </c>
      <c r="E194" t="s">
        <v>39</v>
      </c>
      <c r="F194">
        <v>5</v>
      </c>
      <c r="G194" s="1">
        <v>6250</v>
      </c>
      <c r="H194" s="1">
        <v>4410</v>
      </c>
      <c r="I194" s="5">
        <v>45735</v>
      </c>
      <c r="J194" t="s">
        <v>30</v>
      </c>
      <c r="K194" t="s">
        <v>17</v>
      </c>
      <c r="L194" t="s">
        <v>25</v>
      </c>
      <c r="M194" s="1">
        <f>(orders[[#This Row],[Revenue]]-orders[[#This Row],[Cost]])</f>
        <v>1840</v>
      </c>
      <c r="N194" s="8">
        <f>IFERROR(orders[[#This Row],[profit]]/orders[[#This Row],[Revenue]],0)</f>
        <v>0.2944</v>
      </c>
      <c r="O194">
        <f>IF(orders[[#This Row],[Delivery Date]]="","",(orders[[#This Row],[Delivery Date]]-orders[[#This Row],[Date]]))</f>
        <v>2</v>
      </c>
      <c r="P194" t="str">
        <f>IF(orders[[#This Row],[delivery days]]="","Not Delivered",IF(orders[[#This Row],[delivery days]]&lt;=2,"Fast",IF(orders[[#This Row],[delivery days]]&lt;=5,"Normal","Delayed")))</f>
        <v>Fast</v>
      </c>
    </row>
    <row r="195" spans="1:16" x14ac:dyDescent="0.25">
      <c r="A195" t="s">
        <v>329</v>
      </c>
      <c r="B195" s="5">
        <v>45734</v>
      </c>
      <c r="C195" t="s">
        <v>88</v>
      </c>
      <c r="D195" t="s">
        <v>58</v>
      </c>
      <c r="E195" t="s">
        <v>39</v>
      </c>
      <c r="F195">
        <v>5</v>
      </c>
      <c r="G195" s="1">
        <v>6062.5</v>
      </c>
      <c r="H195" s="1">
        <v>4500</v>
      </c>
      <c r="I195" s="5">
        <v>45738</v>
      </c>
      <c r="J195" t="s">
        <v>46</v>
      </c>
      <c r="K195" t="s">
        <v>24</v>
      </c>
      <c r="L195" t="s">
        <v>25</v>
      </c>
      <c r="M195" s="1">
        <f>(orders[[#This Row],[Revenue]]-orders[[#This Row],[Cost]])</f>
        <v>1562.5</v>
      </c>
      <c r="N195" s="8">
        <f>IFERROR(orders[[#This Row],[profit]]/orders[[#This Row],[Revenue]],0)</f>
        <v>0.25773195876288657</v>
      </c>
      <c r="O195">
        <f>IF(orders[[#This Row],[Delivery Date]]="","",(orders[[#This Row],[Delivery Date]]-orders[[#This Row],[Date]]))</f>
        <v>4</v>
      </c>
      <c r="P195" t="str">
        <f>IF(orders[[#This Row],[delivery days]]="","Not Delivered",IF(orders[[#This Row],[delivery days]]&lt;=2,"Fast",IF(orders[[#This Row],[delivery days]]&lt;=5,"Normal","Delayed")))</f>
        <v>Normal</v>
      </c>
    </row>
    <row r="196" spans="1:16" x14ac:dyDescent="0.25">
      <c r="A196" t="s">
        <v>330</v>
      </c>
      <c r="B196" s="5">
        <v>45734</v>
      </c>
      <c r="C196" t="s">
        <v>57</v>
      </c>
      <c r="D196" t="s">
        <v>163</v>
      </c>
      <c r="E196" t="s">
        <v>39</v>
      </c>
      <c r="F196">
        <v>2</v>
      </c>
      <c r="G196" s="1">
        <v>190</v>
      </c>
      <c r="H196" s="1">
        <v>104</v>
      </c>
      <c r="I196" s="5">
        <v>45738</v>
      </c>
      <c r="J196" t="s">
        <v>16</v>
      </c>
      <c r="K196" t="s">
        <v>17</v>
      </c>
      <c r="L196" t="s">
        <v>25</v>
      </c>
      <c r="M196" s="1">
        <f>(orders[[#This Row],[Revenue]]-orders[[#This Row],[Cost]])</f>
        <v>86</v>
      </c>
      <c r="N196" s="8">
        <f>IFERROR(orders[[#This Row],[profit]]/orders[[#This Row],[Revenue]],0)</f>
        <v>0.45263157894736844</v>
      </c>
      <c r="O196">
        <f>IF(orders[[#This Row],[Delivery Date]]="","",(orders[[#This Row],[Delivery Date]]-orders[[#This Row],[Date]]))</f>
        <v>4</v>
      </c>
      <c r="P196" t="str">
        <f>IF(orders[[#This Row],[delivery days]]="","Not Delivered",IF(orders[[#This Row],[delivery days]]&lt;=2,"Fast",IF(orders[[#This Row],[delivery days]]&lt;=5,"Normal","Delayed")))</f>
        <v>Normal</v>
      </c>
    </row>
    <row r="197" spans="1:16" x14ac:dyDescent="0.25">
      <c r="A197" t="s">
        <v>331</v>
      </c>
      <c r="B197" s="5">
        <v>45735</v>
      </c>
      <c r="C197" t="s">
        <v>155</v>
      </c>
      <c r="D197" t="s">
        <v>97</v>
      </c>
      <c r="E197" t="s">
        <v>39</v>
      </c>
      <c r="F197">
        <v>1</v>
      </c>
      <c r="G197" s="1">
        <v>390</v>
      </c>
      <c r="H197" s="1">
        <v>265.2</v>
      </c>
      <c r="I197" s="5">
        <v>45736</v>
      </c>
      <c r="J197" t="s">
        <v>16</v>
      </c>
      <c r="K197" t="s">
        <v>35</v>
      </c>
      <c r="L197" t="s">
        <v>25</v>
      </c>
      <c r="M197" s="1">
        <f>(orders[[#This Row],[Revenue]]-orders[[#This Row],[Cost]])</f>
        <v>124.80000000000001</v>
      </c>
      <c r="N197" s="8">
        <f>IFERROR(orders[[#This Row],[profit]]/orders[[#This Row],[Revenue]],0)</f>
        <v>0.32</v>
      </c>
      <c r="O197">
        <f>IF(orders[[#This Row],[Delivery Date]]="","",(orders[[#This Row],[Delivery Date]]-orders[[#This Row],[Date]]))</f>
        <v>1</v>
      </c>
      <c r="P197" t="str">
        <f>IF(orders[[#This Row],[delivery days]]="","Not Delivered",IF(orders[[#This Row],[delivery days]]&lt;=2,"Fast",IF(orders[[#This Row],[delivery days]]&lt;=5,"Normal","Delayed")))</f>
        <v>Fast</v>
      </c>
    </row>
    <row r="198" spans="1:16" x14ac:dyDescent="0.25">
      <c r="A198" t="s">
        <v>332</v>
      </c>
      <c r="B198" s="5">
        <v>45735</v>
      </c>
      <c r="C198" t="s">
        <v>121</v>
      </c>
      <c r="D198" t="s">
        <v>125</v>
      </c>
      <c r="E198" t="s">
        <v>62</v>
      </c>
      <c r="F198">
        <v>1</v>
      </c>
      <c r="G198" s="1">
        <v>145</v>
      </c>
      <c r="H198" s="1">
        <v>82</v>
      </c>
      <c r="I198" s="5">
        <v>45739</v>
      </c>
      <c r="J198" t="s">
        <v>46</v>
      </c>
      <c r="K198" t="s">
        <v>24</v>
      </c>
      <c r="L198" t="s">
        <v>25</v>
      </c>
      <c r="M198" s="1">
        <f>(orders[[#This Row],[Revenue]]-orders[[#This Row],[Cost]])</f>
        <v>63</v>
      </c>
      <c r="N198" s="8">
        <f>IFERROR(orders[[#This Row],[profit]]/orders[[#This Row],[Revenue]],0)</f>
        <v>0.43448275862068964</v>
      </c>
      <c r="O198">
        <f>IF(orders[[#This Row],[Delivery Date]]="","",(orders[[#This Row],[Delivery Date]]-orders[[#This Row],[Date]]))</f>
        <v>4</v>
      </c>
      <c r="P198" t="str">
        <f>IF(orders[[#This Row],[delivery days]]="","Not Delivered",IF(orders[[#This Row],[delivery days]]&lt;=2,"Fast",IF(orders[[#This Row],[delivery days]]&lt;=5,"Normal","Delayed")))</f>
        <v>Normal</v>
      </c>
    </row>
    <row r="199" spans="1:16" x14ac:dyDescent="0.25">
      <c r="A199" t="s">
        <v>333</v>
      </c>
      <c r="B199" s="5">
        <v>45735</v>
      </c>
      <c r="C199" t="s">
        <v>96</v>
      </c>
      <c r="D199" t="s">
        <v>159</v>
      </c>
      <c r="E199" t="s">
        <v>39</v>
      </c>
      <c r="F199">
        <v>1</v>
      </c>
      <c r="G199" s="1">
        <v>110</v>
      </c>
      <c r="H199" s="1">
        <v>62</v>
      </c>
      <c r="I199" s="5">
        <v>45739</v>
      </c>
      <c r="J199" t="s">
        <v>30</v>
      </c>
      <c r="K199" t="s">
        <v>17</v>
      </c>
      <c r="L199" t="s">
        <v>25</v>
      </c>
      <c r="M199" s="1">
        <f>(orders[[#This Row],[Revenue]]-orders[[#This Row],[Cost]])</f>
        <v>48</v>
      </c>
      <c r="N199" s="8">
        <f>IFERROR(orders[[#This Row],[profit]]/orders[[#This Row],[Revenue]],0)</f>
        <v>0.43636363636363634</v>
      </c>
      <c r="O199">
        <f>IF(orders[[#This Row],[Delivery Date]]="","",(orders[[#This Row],[Delivery Date]]-orders[[#This Row],[Date]]))</f>
        <v>4</v>
      </c>
      <c r="P199" t="str">
        <f>IF(orders[[#This Row],[delivery days]]="","Not Delivered",IF(orders[[#This Row],[delivery days]]&lt;=2,"Fast",IF(orders[[#This Row],[delivery days]]&lt;=5,"Normal","Delayed")))</f>
        <v>Normal</v>
      </c>
    </row>
    <row r="200" spans="1:16" x14ac:dyDescent="0.25">
      <c r="A200" t="s">
        <v>334</v>
      </c>
      <c r="B200" s="5">
        <v>45735</v>
      </c>
      <c r="C200" t="s">
        <v>161</v>
      </c>
      <c r="D200" t="s">
        <v>119</v>
      </c>
      <c r="E200" t="s">
        <v>39</v>
      </c>
      <c r="F200">
        <v>1</v>
      </c>
      <c r="G200" s="1">
        <v>56.65</v>
      </c>
      <c r="H200" s="1">
        <v>28</v>
      </c>
      <c r="I200" s="5">
        <v>45738</v>
      </c>
      <c r="J200" t="s">
        <v>46</v>
      </c>
      <c r="K200" t="s">
        <v>47</v>
      </c>
      <c r="L200" t="s">
        <v>25</v>
      </c>
      <c r="M200" s="1">
        <f>(orders[[#This Row],[Revenue]]-orders[[#This Row],[Cost]])</f>
        <v>28.65</v>
      </c>
      <c r="N200" s="8">
        <f>IFERROR(orders[[#This Row],[profit]]/orders[[#This Row],[Revenue]],0)</f>
        <v>0.50573698146513679</v>
      </c>
      <c r="O200">
        <f>IF(orders[[#This Row],[Delivery Date]]="","",(orders[[#This Row],[Delivery Date]]-orders[[#This Row],[Date]]))</f>
        <v>3</v>
      </c>
      <c r="P200" t="str">
        <f>IF(orders[[#This Row],[delivery days]]="","Not Delivered",IF(orders[[#This Row],[delivery days]]&lt;=2,"Fast",IF(orders[[#This Row],[delivery days]]&lt;=5,"Normal","Delayed")))</f>
        <v>Normal</v>
      </c>
    </row>
    <row r="201" spans="1:16" x14ac:dyDescent="0.25">
      <c r="A201" t="s">
        <v>335</v>
      </c>
      <c r="B201" s="5">
        <v>45735</v>
      </c>
      <c r="C201" t="s">
        <v>149</v>
      </c>
      <c r="D201" t="s">
        <v>80</v>
      </c>
      <c r="E201" t="s">
        <v>77</v>
      </c>
      <c r="F201">
        <v>3</v>
      </c>
      <c r="G201" s="1">
        <v>225</v>
      </c>
      <c r="H201" s="1">
        <v>111.72</v>
      </c>
      <c r="I201" s="5">
        <v>45736</v>
      </c>
      <c r="J201" t="s">
        <v>30</v>
      </c>
      <c r="K201" t="s">
        <v>35</v>
      </c>
      <c r="L201" t="s">
        <v>25</v>
      </c>
      <c r="M201" s="1">
        <f>(orders[[#This Row],[Revenue]]-orders[[#This Row],[Cost]])</f>
        <v>113.28</v>
      </c>
      <c r="N201" s="8">
        <f>IFERROR(orders[[#This Row],[profit]]/orders[[#This Row],[Revenue]],0)</f>
        <v>0.50346666666666662</v>
      </c>
      <c r="O201">
        <f>IF(orders[[#This Row],[Delivery Date]]="","",(orders[[#This Row],[Delivery Date]]-orders[[#This Row],[Date]]))</f>
        <v>1</v>
      </c>
      <c r="P201" t="str">
        <f>IF(orders[[#This Row],[delivery days]]="","Not Delivered",IF(orders[[#This Row],[delivery days]]&lt;=2,"Fast",IF(orders[[#This Row],[delivery days]]&lt;=5,"Normal","Delayed")))</f>
        <v>Fast</v>
      </c>
    </row>
    <row r="202" spans="1:16" x14ac:dyDescent="0.25">
      <c r="A202" t="s">
        <v>336</v>
      </c>
      <c r="B202" s="5">
        <v>45736</v>
      </c>
      <c r="C202" t="s">
        <v>325</v>
      </c>
      <c r="D202" t="s">
        <v>38</v>
      </c>
      <c r="E202" t="s">
        <v>39</v>
      </c>
      <c r="F202">
        <v>2</v>
      </c>
      <c r="G202" s="1">
        <v>1649</v>
      </c>
      <c r="H202" s="1">
        <v>1220</v>
      </c>
      <c r="I202" s="5">
        <v>45743</v>
      </c>
      <c r="J202" t="s">
        <v>52</v>
      </c>
      <c r="K202" t="s">
        <v>24</v>
      </c>
      <c r="L202" t="s">
        <v>25</v>
      </c>
      <c r="M202" s="1">
        <f>(orders[[#This Row],[Revenue]]-orders[[#This Row],[Cost]])</f>
        <v>429</v>
      </c>
      <c r="N202" s="8">
        <f>IFERROR(orders[[#This Row],[profit]]/orders[[#This Row],[Revenue]],0)</f>
        <v>0.26015767131594908</v>
      </c>
      <c r="O202">
        <f>IF(orders[[#This Row],[Delivery Date]]="","",(orders[[#This Row],[Delivery Date]]-orders[[#This Row],[Date]]))</f>
        <v>7</v>
      </c>
      <c r="P202" t="str">
        <f>IF(orders[[#This Row],[delivery days]]="","Not Delivered",IF(orders[[#This Row],[delivery days]]&lt;=2,"Fast",IF(orders[[#This Row],[delivery days]]&lt;=5,"Normal","Delayed")))</f>
        <v>Delayed</v>
      </c>
    </row>
    <row r="203" spans="1:16" x14ac:dyDescent="0.25">
      <c r="A203" t="s">
        <v>337</v>
      </c>
      <c r="B203" s="5">
        <v>45737</v>
      </c>
      <c r="C203" t="s">
        <v>99</v>
      </c>
      <c r="D203" t="s">
        <v>119</v>
      </c>
      <c r="E203" t="s">
        <v>39</v>
      </c>
      <c r="F203">
        <v>2</v>
      </c>
      <c r="G203" s="1">
        <v>106.7</v>
      </c>
      <c r="H203" s="1">
        <v>56</v>
      </c>
      <c r="I203" s="5"/>
      <c r="J203" t="s">
        <v>52</v>
      </c>
      <c r="K203" t="s">
        <v>47</v>
      </c>
      <c r="L203" t="s">
        <v>103</v>
      </c>
      <c r="M203" s="1">
        <f>(orders[[#This Row],[Revenue]]-orders[[#This Row],[Cost]])</f>
        <v>50.7</v>
      </c>
      <c r="N203" s="8">
        <f>IFERROR(orders[[#This Row],[profit]]/orders[[#This Row],[Revenue]],0)</f>
        <v>0.4751640112464855</v>
      </c>
      <c r="O203" t="str">
        <f>IF(orders[[#This Row],[Delivery Date]]="","",(orders[[#This Row],[Delivery Date]]-orders[[#This Row],[Date]]))</f>
        <v/>
      </c>
      <c r="P203" t="str">
        <f>IF(orders[[#This Row],[delivery days]]="","Not Delivered",IF(orders[[#This Row],[delivery days]]&lt;=2,"Fast",IF(orders[[#This Row],[delivery days]]&lt;=5,"Normal","Delayed")))</f>
        <v>Not Delivered</v>
      </c>
    </row>
    <row r="204" spans="1:16" x14ac:dyDescent="0.25">
      <c r="A204" t="s">
        <v>338</v>
      </c>
      <c r="B204" s="5">
        <v>45737</v>
      </c>
      <c r="C204" t="s">
        <v>82</v>
      </c>
      <c r="D204" t="s">
        <v>97</v>
      </c>
      <c r="E204" t="s">
        <v>39</v>
      </c>
      <c r="F204">
        <v>2</v>
      </c>
      <c r="G204" s="1">
        <v>780</v>
      </c>
      <c r="H204" s="1">
        <v>520</v>
      </c>
      <c r="I204" s="5">
        <v>45738</v>
      </c>
      <c r="J204" t="s">
        <v>46</v>
      </c>
      <c r="K204" t="s">
        <v>47</v>
      </c>
      <c r="L204" t="s">
        <v>25</v>
      </c>
      <c r="M204" s="1">
        <f>(orders[[#This Row],[Revenue]]-orders[[#This Row],[Cost]])</f>
        <v>260</v>
      </c>
      <c r="N204" s="8">
        <f>IFERROR(orders[[#This Row],[profit]]/orders[[#This Row],[Revenue]],0)</f>
        <v>0.33333333333333331</v>
      </c>
      <c r="O204">
        <f>IF(orders[[#This Row],[Delivery Date]]="","",(orders[[#This Row],[Delivery Date]]-orders[[#This Row],[Date]]))</f>
        <v>1</v>
      </c>
      <c r="P204" t="str">
        <f>IF(orders[[#This Row],[delivery days]]="","Not Delivered",IF(orders[[#This Row],[delivery days]]&lt;=2,"Fast",IF(orders[[#This Row],[delivery days]]&lt;=5,"Normal","Delayed")))</f>
        <v>Fast</v>
      </c>
    </row>
    <row r="205" spans="1:16" x14ac:dyDescent="0.25">
      <c r="A205" t="s">
        <v>339</v>
      </c>
      <c r="B205" s="5">
        <v>45737</v>
      </c>
      <c r="C205" t="s">
        <v>161</v>
      </c>
      <c r="D205" t="s">
        <v>55</v>
      </c>
      <c r="E205" t="s">
        <v>39</v>
      </c>
      <c r="F205">
        <v>1</v>
      </c>
      <c r="G205" s="1">
        <v>420</v>
      </c>
      <c r="H205" s="1">
        <v>275</v>
      </c>
      <c r="I205" s="5">
        <v>45740</v>
      </c>
      <c r="J205" t="s">
        <v>101</v>
      </c>
      <c r="K205" t="s">
        <v>47</v>
      </c>
      <c r="L205" t="s">
        <v>25</v>
      </c>
      <c r="M205" s="1">
        <f>(orders[[#This Row],[Revenue]]-orders[[#This Row],[Cost]])</f>
        <v>145</v>
      </c>
      <c r="N205" s="8">
        <f>IFERROR(orders[[#This Row],[profit]]/orders[[#This Row],[Revenue]],0)</f>
        <v>0.34523809523809523</v>
      </c>
      <c r="O205">
        <f>IF(orders[[#This Row],[Delivery Date]]="","",(orders[[#This Row],[Delivery Date]]-orders[[#This Row],[Date]]))</f>
        <v>3</v>
      </c>
      <c r="P205" t="str">
        <f>IF(orders[[#This Row],[delivery days]]="","Not Delivered",IF(orders[[#This Row],[delivery days]]&lt;=2,"Fast",IF(orders[[#This Row],[delivery days]]&lt;=5,"Normal","Delayed")))</f>
        <v>Normal</v>
      </c>
    </row>
    <row r="206" spans="1:16" x14ac:dyDescent="0.25">
      <c r="A206" t="s">
        <v>340</v>
      </c>
      <c r="B206" s="5">
        <v>45737</v>
      </c>
      <c r="C206" t="s">
        <v>92</v>
      </c>
      <c r="D206" t="s">
        <v>61</v>
      </c>
      <c r="E206" t="s">
        <v>62</v>
      </c>
      <c r="F206">
        <v>2</v>
      </c>
      <c r="G206" s="1">
        <v>62.08</v>
      </c>
      <c r="H206" s="1">
        <v>28</v>
      </c>
      <c r="I206" s="5">
        <v>45740</v>
      </c>
      <c r="J206" t="s">
        <v>16</v>
      </c>
      <c r="K206" t="s">
        <v>35</v>
      </c>
      <c r="L206" t="s">
        <v>25</v>
      </c>
      <c r="M206" s="1">
        <f>(orders[[#This Row],[Revenue]]-orders[[#This Row],[Cost]])</f>
        <v>34.08</v>
      </c>
      <c r="N206" s="8">
        <f>IFERROR(orders[[#This Row],[profit]]/orders[[#This Row],[Revenue]],0)</f>
        <v>0.54896907216494839</v>
      </c>
      <c r="O206">
        <f>IF(orders[[#This Row],[Delivery Date]]="","",(orders[[#This Row],[Delivery Date]]-orders[[#This Row],[Date]]))</f>
        <v>3</v>
      </c>
      <c r="P206" t="str">
        <f>IF(orders[[#This Row],[delivery days]]="","Not Delivered",IF(orders[[#This Row],[delivery days]]&lt;=2,"Fast",IF(orders[[#This Row],[delivery days]]&lt;=5,"Normal","Delayed")))</f>
        <v>Normal</v>
      </c>
    </row>
    <row r="207" spans="1:16" x14ac:dyDescent="0.25">
      <c r="A207" t="s">
        <v>341</v>
      </c>
      <c r="B207" s="5">
        <v>45738</v>
      </c>
      <c r="C207" t="s">
        <v>243</v>
      </c>
      <c r="D207" t="s">
        <v>208</v>
      </c>
      <c r="E207" t="s">
        <v>15</v>
      </c>
      <c r="F207">
        <v>1</v>
      </c>
      <c r="G207" s="1">
        <v>130</v>
      </c>
      <c r="H207" s="1">
        <v>76</v>
      </c>
      <c r="I207" s="5"/>
      <c r="J207" t="s">
        <v>23</v>
      </c>
      <c r="K207" t="s">
        <v>17</v>
      </c>
      <c r="L207" t="s">
        <v>103</v>
      </c>
      <c r="M207" s="1">
        <f>(orders[[#This Row],[Revenue]]-orders[[#This Row],[Cost]])</f>
        <v>54</v>
      </c>
      <c r="N207" s="8">
        <f>IFERROR(orders[[#This Row],[profit]]/orders[[#This Row],[Revenue]],0)</f>
        <v>0.41538461538461541</v>
      </c>
      <c r="O207" t="str">
        <f>IF(orders[[#This Row],[Delivery Date]]="","",(orders[[#This Row],[Delivery Date]]-orders[[#This Row],[Date]]))</f>
        <v/>
      </c>
      <c r="P207" t="str">
        <f>IF(orders[[#This Row],[delivery days]]="","Not Delivered",IF(orders[[#This Row],[delivery days]]&lt;=2,"Fast",IF(orders[[#This Row],[delivery days]]&lt;=5,"Normal","Delayed")))</f>
        <v>Not Delivered</v>
      </c>
    </row>
    <row r="208" spans="1:16" x14ac:dyDescent="0.25">
      <c r="A208" t="s">
        <v>342</v>
      </c>
      <c r="B208" s="5">
        <v>45738</v>
      </c>
      <c r="C208" t="s">
        <v>161</v>
      </c>
      <c r="D208" t="s">
        <v>100</v>
      </c>
      <c r="E208" t="s">
        <v>34</v>
      </c>
      <c r="F208">
        <v>5</v>
      </c>
      <c r="G208" s="1">
        <v>260</v>
      </c>
      <c r="H208" s="1">
        <v>115</v>
      </c>
      <c r="I208" s="5">
        <v>45742</v>
      </c>
      <c r="J208" t="s">
        <v>101</v>
      </c>
      <c r="K208" t="s">
        <v>35</v>
      </c>
      <c r="L208" t="s">
        <v>25</v>
      </c>
      <c r="M208" s="1">
        <f>(orders[[#This Row],[Revenue]]-orders[[#This Row],[Cost]])</f>
        <v>145</v>
      </c>
      <c r="N208" s="8">
        <f>IFERROR(orders[[#This Row],[profit]]/orders[[#This Row],[Revenue]],0)</f>
        <v>0.55769230769230771</v>
      </c>
      <c r="O208">
        <f>IF(orders[[#This Row],[Delivery Date]]="","",(orders[[#This Row],[Delivery Date]]-orders[[#This Row],[Date]]))</f>
        <v>4</v>
      </c>
      <c r="P208" t="str">
        <f>IF(orders[[#This Row],[delivery days]]="","Not Delivered",IF(orders[[#This Row],[delivery days]]&lt;=2,"Fast",IF(orders[[#This Row],[delivery days]]&lt;=5,"Normal","Delayed")))</f>
        <v>Normal</v>
      </c>
    </row>
    <row r="209" spans="1:16" x14ac:dyDescent="0.25">
      <c r="A209" t="s">
        <v>343</v>
      </c>
      <c r="B209" s="5">
        <v>45738</v>
      </c>
      <c r="C209" t="s">
        <v>161</v>
      </c>
      <c r="D209" t="s">
        <v>153</v>
      </c>
      <c r="E209" t="s">
        <v>34</v>
      </c>
      <c r="F209">
        <v>3</v>
      </c>
      <c r="G209" s="1">
        <v>204</v>
      </c>
      <c r="H209" s="1">
        <v>96</v>
      </c>
      <c r="I209" s="5"/>
      <c r="J209" t="s">
        <v>52</v>
      </c>
      <c r="K209" t="s">
        <v>47</v>
      </c>
      <c r="L209" t="s">
        <v>103</v>
      </c>
      <c r="M209" s="1">
        <f>(orders[[#This Row],[Revenue]]-orders[[#This Row],[Cost]])</f>
        <v>108</v>
      </c>
      <c r="N209" s="8">
        <f>IFERROR(orders[[#This Row],[profit]]/orders[[#This Row],[Revenue]],0)</f>
        <v>0.52941176470588236</v>
      </c>
      <c r="O209" t="str">
        <f>IF(orders[[#This Row],[Delivery Date]]="","",(orders[[#This Row],[Delivery Date]]-orders[[#This Row],[Date]]))</f>
        <v/>
      </c>
      <c r="P209" t="str">
        <f>IF(orders[[#This Row],[delivery days]]="","Not Delivered",IF(orders[[#This Row],[delivery days]]&lt;=2,"Fast",IF(orders[[#This Row],[delivery days]]&lt;=5,"Normal","Delayed")))</f>
        <v>Not Delivered</v>
      </c>
    </row>
    <row r="210" spans="1:16" x14ac:dyDescent="0.25">
      <c r="A210" t="s">
        <v>344</v>
      </c>
      <c r="B210" s="5">
        <v>45739</v>
      </c>
      <c r="C210" t="s">
        <v>96</v>
      </c>
      <c r="D210" t="s">
        <v>177</v>
      </c>
      <c r="E210" t="s">
        <v>34</v>
      </c>
      <c r="F210">
        <v>3</v>
      </c>
      <c r="G210" s="1">
        <v>435</v>
      </c>
      <c r="H210" s="1">
        <v>229.32</v>
      </c>
      <c r="I210" s="5">
        <v>45740</v>
      </c>
      <c r="J210" t="s">
        <v>30</v>
      </c>
      <c r="K210" t="s">
        <v>35</v>
      </c>
      <c r="L210" t="s">
        <v>25</v>
      </c>
      <c r="M210" s="1">
        <f>(orders[[#This Row],[Revenue]]-orders[[#This Row],[Cost]])</f>
        <v>205.68</v>
      </c>
      <c r="N210" s="8">
        <f>IFERROR(orders[[#This Row],[profit]]/orders[[#This Row],[Revenue]],0)</f>
        <v>0.47282758620689658</v>
      </c>
      <c r="O210">
        <f>IF(orders[[#This Row],[Delivery Date]]="","",(orders[[#This Row],[Delivery Date]]-orders[[#This Row],[Date]]))</f>
        <v>1</v>
      </c>
      <c r="P210" t="str">
        <f>IF(orders[[#This Row],[delivery days]]="","Not Delivered",IF(orders[[#This Row],[delivery days]]&lt;=2,"Fast",IF(orders[[#This Row],[delivery days]]&lt;=5,"Normal","Delayed")))</f>
        <v>Fast</v>
      </c>
    </row>
    <row r="211" spans="1:16" x14ac:dyDescent="0.25">
      <c r="A211" t="s">
        <v>345</v>
      </c>
      <c r="B211" s="5">
        <v>45739</v>
      </c>
      <c r="C211" t="s">
        <v>99</v>
      </c>
      <c r="D211" t="s">
        <v>270</v>
      </c>
      <c r="E211" t="s">
        <v>39</v>
      </c>
      <c r="F211">
        <v>1</v>
      </c>
      <c r="G211" s="1">
        <v>45</v>
      </c>
      <c r="H211" s="1">
        <v>22</v>
      </c>
      <c r="I211" s="5">
        <v>45742</v>
      </c>
      <c r="J211" t="s">
        <v>46</v>
      </c>
      <c r="K211" t="s">
        <v>47</v>
      </c>
      <c r="L211" t="s">
        <v>25</v>
      </c>
      <c r="M211" s="1">
        <f>(orders[[#This Row],[Revenue]]-orders[[#This Row],[Cost]])</f>
        <v>23</v>
      </c>
      <c r="N211" s="8">
        <f>IFERROR(orders[[#This Row],[profit]]/orders[[#This Row],[Revenue]],0)</f>
        <v>0.51111111111111107</v>
      </c>
      <c r="O211">
        <f>IF(orders[[#This Row],[Delivery Date]]="","",(orders[[#This Row],[Delivery Date]]-orders[[#This Row],[Date]]))</f>
        <v>3</v>
      </c>
      <c r="P211" t="str">
        <f>IF(orders[[#This Row],[delivery days]]="","Not Delivered",IF(orders[[#This Row],[delivery days]]&lt;=2,"Fast",IF(orders[[#This Row],[delivery days]]&lt;=5,"Normal","Delayed")))</f>
        <v>Normal</v>
      </c>
    </row>
    <row r="212" spans="1:16" x14ac:dyDescent="0.25">
      <c r="A212" t="s">
        <v>346</v>
      </c>
      <c r="B212" s="5">
        <v>45739</v>
      </c>
      <c r="C212" t="s">
        <v>222</v>
      </c>
      <c r="D212" t="s">
        <v>65</v>
      </c>
      <c r="E212" t="s">
        <v>62</v>
      </c>
      <c r="F212">
        <v>1</v>
      </c>
      <c r="G212" s="1">
        <v>48</v>
      </c>
      <c r="H212" s="1">
        <v>21</v>
      </c>
      <c r="I212" s="5">
        <v>45740</v>
      </c>
      <c r="J212" t="s">
        <v>30</v>
      </c>
      <c r="K212" t="s">
        <v>35</v>
      </c>
      <c r="L212" t="s">
        <v>25</v>
      </c>
      <c r="M212" s="1">
        <f>(orders[[#This Row],[Revenue]]-orders[[#This Row],[Cost]])</f>
        <v>27</v>
      </c>
      <c r="N212" s="8">
        <f>IFERROR(orders[[#This Row],[profit]]/orders[[#This Row],[Revenue]],0)</f>
        <v>0.5625</v>
      </c>
      <c r="O212">
        <f>IF(orders[[#This Row],[Delivery Date]]="","",(orders[[#This Row],[Delivery Date]]-orders[[#This Row],[Date]]))</f>
        <v>1</v>
      </c>
      <c r="P212" t="str">
        <f>IF(orders[[#This Row],[delivery days]]="","Not Delivered",IF(orders[[#This Row],[delivery days]]&lt;=2,"Fast",IF(orders[[#This Row],[delivery days]]&lt;=5,"Normal","Delayed")))</f>
        <v>Fast</v>
      </c>
    </row>
    <row r="213" spans="1:16" x14ac:dyDescent="0.25">
      <c r="A213" t="s">
        <v>347</v>
      </c>
      <c r="B213" s="5">
        <v>45740</v>
      </c>
      <c r="C213" t="s">
        <v>92</v>
      </c>
      <c r="D213" t="s">
        <v>70</v>
      </c>
      <c r="E213" t="s">
        <v>62</v>
      </c>
      <c r="F213">
        <v>1</v>
      </c>
      <c r="G213" s="1">
        <v>124.2</v>
      </c>
      <c r="H213" s="1">
        <v>78</v>
      </c>
      <c r="I213" s="5">
        <v>45742</v>
      </c>
      <c r="J213" t="s">
        <v>46</v>
      </c>
      <c r="K213" t="s">
        <v>24</v>
      </c>
      <c r="L213" t="s">
        <v>25</v>
      </c>
      <c r="M213" s="1">
        <f>(orders[[#This Row],[Revenue]]-orders[[#This Row],[Cost]])</f>
        <v>46.2</v>
      </c>
      <c r="N213" s="8">
        <f>IFERROR(orders[[#This Row],[profit]]/orders[[#This Row],[Revenue]],0)</f>
        <v>0.37198067632850246</v>
      </c>
      <c r="O213">
        <f>IF(orders[[#This Row],[Delivery Date]]="","",(orders[[#This Row],[Delivery Date]]-orders[[#This Row],[Date]]))</f>
        <v>2</v>
      </c>
      <c r="P213" t="str">
        <f>IF(orders[[#This Row],[delivery days]]="","Not Delivered",IF(orders[[#This Row],[delivery days]]&lt;=2,"Fast",IF(orders[[#This Row],[delivery days]]&lt;=5,"Normal","Delayed")))</f>
        <v>Fast</v>
      </c>
    </row>
    <row r="214" spans="1:16" x14ac:dyDescent="0.25">
      <c r="A214" t="s">
        <v>348</v>
      </c>
      <c r="B214" s="5">
        <v>45740</v>
      </c>
      <c r="C214" t="s">
        <v>112</v>
      </c>
      <c r="D214" t="s">
        <v>289</v>
      </c>
      <c r="E214" t="s">
        <v>22</v>
      </c>
      <c r="F214">
        <v>1</v>
      </c>
      <c r="G214" s="1">
        <v>60.14</v>
      </c>
      <c r="H214" s="1">
        <v>29</v>
      </c>
      <c r="I214" s="5">
        <v>45743</v>
      </c>
      <c r="J214" t="s">
        <v>46</v>
      </c>
      <c r="K214" t="s">
        <v>24</v>
      </c>
      <c r="L214" t="s">
        <v>25</v>
      </c>
      <c r="M214" s="1">
        <f>(orders[[#This Row],[Revenue]]-orders[[#This Row],[Cost]])</f>
        <v>31.14</v>
      </c>
      <c r="N214" s="8">
        <f>IFERROR(orders[[#This Row],[profit]]/orders[[#This Row],[Revenue]],0)</f>
        <v>0.51779181908879279</v>
      </c>
      <c r="O214">
        <f>IF(orders[[#This Row],[Delivery Date]]="","",(orders[[#This Row],[Delivery Date]]-orders[[#This Row],[Date]]))</f>
        <v>3</v>
      </c>
      <c r="P214" t="str">
        <f>IF(orders[[#This Row],[delivery days]]="","Not Delivered",IF(orders[[#This Row],[delivery days]]&lt;=2,"Fast",IF(orders[[#This Row],[delivery days]]&lt;=5,"Normal","Delayed")))</f>
        <v>Normal</v>
      </c>
    </row>
    <row r="215" spans="1:16" x14ac:dyDescent="0.25">
      <c r="A215" t="s">
        <v>349</v>
      </c>
      <c r="B215" s="5">
        <v>45740</v>
      </c>
      <c r="C215" t="s">
        <v>210</v>
      </c>
      <c r="D215" t="s">
        <v>127</v>
      </c>
      <c r="E215" t="s">
        <v>29</v>
      </c>
      <c r="F215">
        <v>2</v>
      </c>
      <c r="G215" s="1">
        <v>36</v>
      </c>
      <c r="H215" s="1">
        <v>12</v>
      </c>
      <c r="I215" s="5">
        <v>45744</v>
      </c>
      <c r="J215" t="s">
        <v>23</v>
      </c>
      <c r="K215" t="s">
        <v>24</v>
      </c>
      <c r="L215" t="s">
        <v>25</v>
      </c>
      <c r="M215" s="1">
        <f>(orders[[#This Row],[Revenue]]-orders[[#This Row],[Cost]])</f>
        <v>24</v>
      </c>
      <c r="N215" s="8">
        <f>IFERROR(orders[[#This Row],[profit]]/orders[[#This Row],[Revenue]],0)</f>
        <v>0.66666666666666663</v>
      </c>
      <c r="O215">
        <f>IF(orders[[#This Row],[Delivery Date]]="","",(orders[[#This Row],[Delivery Date]]-orders[[#This Row],[Date]]))</f>
        <v>4</v>
      </c>
      <c r="P215" t="str">
        <f>IF(orders[[#This Row],[delivery days]]="","Not Delivered",IF(orders[[#This Row],[delivery days]]&lt;=2,"Fast",IF(orders[[#This Row],[delivery days]]&lt;=5,"Normal","Delayed")))</f>
        <v>Normal</v>
      </c>
    </row>
    <row r="216" spans="1:16" x14ac:dyDescent="0.25">
      <c r="A216" t="s">
        <v>350</v>
      </c>
      <c r="B216" s="5">
        <v>45740</v>
      </c>
      <c r="C216" t="s">
        <v>69</v>
      </c>
      <c r="D216" t="s">
        <v>55</v>
      </c>
      <c r="E216" t="s">
        <v>39</v>
      </c>
      <c r="F216">
        <v>1</v>
      </c>
      <c r="G216" s="1">
        <v>432.6</v>
      </c>
      <c r="H216" s="1">
        <v>275</v>
      </c>
      <c r="I216" s="5">
        <v>45741</v>
      </c>
      <c r="J216" t="s">
        <v>30</v>
      </c>
      <c r="K216" t="s">
        <v>17</v>
      </c>
      <c r="L216" t="s">
        <v>25</v>
      </c>
      <c r="M216" s="1">
        <f>(orders[[#This Row],[Revenue]]-orders[[#This Row],[Cost]])</f>
        <v>157.60000000000002</v>
      </c>
      <c r="N216" s="8">
        <f>IFERROR(orders[[#This Row],[profit]]/orders[[#This Row],[Revenue]],0)</f>
        <v>0.36430883032824785</v>
      </c>
      <c r="O216">
        <f>IF(orders[[#This Row],[Delivery Date]]="","",(orders[[#This Row],[Delivery Date]]-orders[[#This Row],[Date]]))</f>
        <v>1</v>
      </c>
      <c r="P216" t="str">
        <f>IF(orders[[#This Row],[delivery days]]="","Not Delivered",IF(orders[[#This Row],[delivery days]]&lt;=2,"Fast",IF(orders[[#This Row],[delivery days]]&lt;=5,"Normal","Delayed")))</f>
        <v>Fast</v>
      </c>
    </row>
    <row r="217" spans="1:16" x14ac:dyDescent="0.25">
      <c r="A217" t="s">
        <v>351</v>
      </c>
      <c r="B217" s="5">
        <v>45741</v>
      </c>
      <c r="C217" t="s">
        <v>155</v>
      </c>
      <c r="D217" t="s">
        <v>97</v>
      </c>
      <c r="E217" t="s">
        <v>39</v>
      </c>
      <c r="F217">
        <v>2</v>
      </c>
      <c r="G217" s="1">
        <v>780</v>
      </c>
      <c r="H217" s="1">
        <v>520</v>
      </c>
      <c r="I217" s="5">
        <v>45743</v>
      </c>
      <c r="J217" t="s">
        <v>16</v>
      </c>
      <c r="K217" t="s">
        <v>17</v>
      </c>
      <c r="L217" t="s">
        <v>25</v>
      </c>
      <c r="M217" s="1">
        <f>(orders[[#This Row],[Revenue]]-orders[[#This Row],[Cost]])</f>
        <v>260</v>
      </c>
      <c r="N217" s="8">
        <f>IFERROR(orders[[#This Row],[profit]]/orders[[#This Row],[Revenue]],0)</f>
        <v>0.33333333333333331</v>
      </c>
      <c r="O217">
        <f>IF(orders[[#This Row],[Delivery Date]]="","",(orders[[#This Row],[Delivery Date]]-orders[[#This Row],[Date]]))</f>
        <v>2</v>
      </c>
      <c r="P217" t="str">
        <f>IF(orders[[#This Row],[delivery days]]="","Not Delivered",IF(orders[[#This Row],[delivery days]]&lt;=2,"Fast",IF(orders[[#This Row],[delivery days]]&lt;=5,"Normal","Delayed")))</f>
        <v>Fast</v>
      </c>
    </row>
    <row r="218" spans="1:16" x14ac:dyDescent="0.25">
      <c r="A218" t="s">
        <v>352</v>
      </c>
      <c r="B218" s="5">
        <v>45741</v>
      </c>
      <c r="C218" t="s">
        <v>217</v>
      </c>
      <c r="D218" t="s">
        <v>61</v>
      </c>
      <c r="E218" t="s">
        <v>62</v>
      </c>
      <c r="F218">
        <v>2</v>
      </c>
      <c r="G218" s="1">
        <v>65.92</v>
      </c>
      <c r="H218" s="1">
        <v>28</v>
      </c>
      <c r="I218" s="5">
        <v>45745</v>
      </c>
      <c r="J218" t="s">
        <v>23</v>
      </c>
      <c r="K218" t="s">
        <v>17</v>
      </c>
      <c r="L218" t="s">
        <v>25</v>
      </c>
      <c r="M218" s="1">
        <f>(orders[[#This Row],[Revenue]]-orders[[#This Row],[Cost]])</f>
        <v>37.92</v>
      </c>
      <c r="N218" s="8">
        <f>IFERROR(orders[[#This Row],[profit]]/orders[[#This Row],[Revenue]],0)</f>
        <v>0.57524271844660191</v>
      </c>
      <c r="O218">
        <f>IF(orders[[#This Row],[Delivery Date]]="","",(orders[[#This Row],[Delivery Date]]-orders[[#This Row],[Date]]))</f>
        <v>4</v>
      </c>
      <c r="P218" t="str">
        <f>IF(orders[[#This Row],[delivery days]]="","Not Delivered",IF(orders[[#This Row],[delivery days]]&lt;=2,"Fast",IF(orders[[#This Row],[delivery days]]&lt;=5,"Normal","Delayed")))</f>
        <v>Normal</v>
      </c>
    </row>
    <row r="219" spans="1:16" x14ac:dyDescent="0.25">
      <c r="A219" t="s">
        <v>353</v>
      </c>
      <c r="B219" s="5">
        <v>45741</v>
      </c>
      <c r="C219" t="s">
        <v>191</v>
      </c>
      <c r="D219" t="s">
        <v>33</v>
      </c>
      <c r="E219" t="s">
        <v>34</v>
      </c>
      <c r="F219">
        <v>2</v>
      </c>
      <c r="G219" s="1">
        <v>106.72</v>
      </c>
      <c r="H219" s="1">
        <v>50</v>
      </c>
      <c r="I219" s="5">
        <v>45743</v>
      </c>
      <c r="J219" t="s">
        <v>30</v>
      </c>
      <c r="K219" t="s">
        <v>35</v>
      </c>
      <c r="L219" t="s">
        <v>25</v>
      </c>
      <c r="M219" s="1">
        <f>(orders[[#This Row],[Revenue]]-orders[[#This Row],[Cost]])</f>
        <v>56.72</v>
      </c>
      <c r="N219" s="8">
        <f>IFERROR(orders[[#This Row],[profit]]/orders[[#This Row],[Revenue]],0)</f>
        <v>0.53148425787106446</v>
      </c>
      <c r="O219">
        <f>IF(orders[[#This Row],[Delivery Date]]="","",(orders[[#This Row],[Delivery Date]]-orders[[#This Row],[Date]]))</f>
        <v>2</v>
      </c>
      <c r="P219" t="str">
        <f>IF(orders[[#This Row],[delivery days]]="","Not Delivered",IF(orders[[#This Row],[delivery days]]&lt;=2,"Fast",IF(orders[[#This Row],[delivery days]]&lt;=5,"Normal","Delayed")))</f>
        <v>Fast</v>
      </c>
    </row>
    <row r="220" spans="1:16" x14ac:dyDescent="0.25">
      <c r="A220" t="s">
        <v>354</v>
      </c>
      <c r="B220" s="5">
        <v>45743</v>
      </c>
      <c r="C220" t="s">
        <v>155</v>
      </c>
      <c r="D220" t="s">
        <v>127</v>
      </c>
      <c r="E220" t="s">
        <v>29</v>
      </c>
      <c r="F220">
        <v>1</v>
      </c>
      <c r="G220" s="1">
        <v>18.54</v>
      </c>
      <c r="H220" s="1">
        <v>6</v>
      </c>
      <c r="I220" s="5">
        <v>45747</v>
      </c>
      <c r="J220" t="s">
        <v>30</v>
      </c>
      <c r="K220" t="s">
        <v>17</v>
      </c>
      <c r="L220" t="s">
        <v>25</v>
      </c>
      <c r="M220" s="1">
        <f>(orders[[#This Row],[Revenue]]-orders[[#This Row],[Cost]])</f>
        <v>12.54</v>
      </c>
      <c r="N220" s="8">
        <f>IFERROR(orders[[#This Row],[profit]]/orders[[#This Row],[Revenue]],0)</f>
        <v>0.6763754045307443</v>
      </c>
      <c r="O220">
        <f>IF(orders[[#This Row],[Delivery Date]]="","",(orders[[#This Row],[Delivery Date]]-orders[[#This Row],[Date]]))</f>
        <v>4</v>
      </c>
      <c r="P220" t="str">
        <f>IF(orders[[#This Row],[delivery days]]="","Not Delivered",IF(orders[[#This Row],[delivery days]]&lt;=2,"Fast",IF(orders[[#This Row],[delivery days]]&lt;=5,"Normal","Delayed")))</f>
        <v>Normal</v>
      </c>
    </row>
    <row r="221" spans="1:16" x14ac:dyDescent="0.25">
      <c r="A221" t="s">
        <v>355</v>
      </c>
      <c r="B221" s="5">
        <v>45743</v>
      </c>
      <c r="C221" t="s">
        <v>137</v>
      </c>
      <c r="D221" t="s">
        <v>70</v>
      </c>
      <c r="E221" t="s">
        <v>62</v>
      </c>
      <c r="F221">
        <v>1</v>
      </c>
      <c r="G221" s="1">
        <v>135</v>
      </c>
      <c r="H221" s="1">
        <v>79.56</v>
      </c>
      <c r="I221" s="5">
        <v>45744</v>
      </c>
      <c r="J221" t="s">
        <v>30</v>
      </c>
      <c r="K221" t="s">
        <v>17</v>
      </c>
      <c r="L221" t="s">
        <v>25</v>
      </c>
      <c r="M221" s="1">
        <f>(orders[[#This Row],[Revenue]]-orders[[#This Row],[Cost]])</f>
        <v>55.44</v>
      </c>
      <c r="N221" s="8">
        <f>IFERROR(orders[[#This Row],[profit]]/orders[[#This Row],[Revenue]],0)</f>
        <v>0.41066666666666662</v>
      </c>
      <c r="O221">
        <f>IF(orders[[#This Row],[Delivery Date]]="","",(orders[[#This Row],[Delivery Date]]-orders[[#This Row],[Date]]))</f>
        <v>1</v>
      </c>
      <c r="P221" t="str">
        <f>IF(orders[[#This Row],[delivery days]]="","Not Delivered",IF(orders[[#This Row],[delivery days]]&lt;=2,"Fast",IF(orders[[#This Row],[delivery days]]&lt;=5,"Normal","Delayed")))</f>
        <v>Fast</v>
      </c>
    </row>
    <row r="222" spans="1:16" x14ac:dyDescent="0.25">
      <c r="A222" t="s">
        <v>356</v>
      </c>
      <c r="B222" s="5">
        <v>45744</v>
      </c>
      <c r="C222" t="s">
        <v>94</v>
      </c>
      <c r="D222" t="s">
        <v>146</v>
      </c>
      <c r="E222" t="s">
        <v>22</v>
      </c>
      <c r="F222">
        <v>2</v>
      </c>
      <c r="G222" s="1">
        <v>181.28</v>
      </c>
      <c r="H222" s="1">
        <v>90</v>
      </c>
      <c r="I222" s="5">
        <v>45746</v>
      </c>
      <c r="J222" t="s">
        <v>101</v>
      </c>
      <c r="K222" t="s">
        <v>47</v>
      </c>
      <c r="L222" t="s">
        <v>25</v>
      </c>
      <c r="M222" s="1">
        <f>(orders[[#This Row],[Revenue]]-orders[[#This Row],[Cost]])</f>
        <v>91.28</v>
      </c>
      <c r="N222" s="8">
        <f>IFERROR(orders[[#This Row],[profit]]/orders[[#This Row],[Revenue]],0)</f>
        <v>0.50353045013239184</v>
      </c>
      <c r="O222">
        <f>IF(orders[[#This Row],[Delivery Date]]="","",(orders[[#This Row],[Delivery Date]]-orders[[#This Row],[Date]]))</f>
        <v>2</v>
      </c>
      <c r="P222" t="str">
        <f>IF(orders[[#This Row],[delivery days]]="","Not Delivered",IF(orders[[#This Row],[delivery days]]&lt;=2,"Fast",IF(orders[[#This Row],[delivery days]]&lt;=5,"Normal","Delayed")))</f>
        <v>Fast</v>
      </c>
    </row>
    <row r="223" spans="1:16" x14ac:dyDescent="0.25">
      <c r="A223" t="s">
        <v>357</v>
      </c>
      <c r="B223" s="5">
        <v>45744</v>
      </c>
      <c r="C223" t="s">
        <v>132</v>
      </c>
      <c r="D223" t="s">
        <v>108</v>
      </c>
      <c r="E223" t="s">
        <v>22</v>
      </c>
      <c r="F223">
        <v>1</v>
      </c>
      <c r="G223" s="1">
        <v>95</v>
      </c>
      <c r="H223" s="1">
        <v>42.84</v>
      </c>
      <c r="I223" s="5">
        <v>45747</v>
      </c>
      <c r="J223" t="s">
        <v>30</v>
      </c>
      <c r="K223" t="s">
        <v>17</v>
      </c>
      <c r="L223" t="s">
        <v>25</v>
      </c>
      <c r="M223" s="1">
        <f>(orders[[#This Row],[Revenue]]-orders[[#This Row],[Cost]])</f>
        <v>52.16</v>
      </c>
      <c r="N223" s="8">
        <f>IFERROR(orders[[#This Row],[profit]]/orders[[#This Row],[Revenue]],0)</f>
        <v>0.54905263157894735</v>
      </c>
      <c r="O223">
        <f>IF(orders[[#This Row],[Delivery Date]]="","",(orders[[#This Row],[Delivery Date]]-orders[[#This Row],[Date]]))</f>
        <v>3</v>
      </c>
      <c r="P223" t="str">
        <f>IF(orders[[#This Row],[delivery days]]="","Not Delivered",IF(orders[[#This Row],[delivery days]]&lt;=2,"Fast",IF(orders[[#This Row],[delivery days]]&lt;=5,"Normal","Delayed")))</f>
        <v>Normal</v>
      </c>
    </row>
    <row r="224" spans="1:16" x14ac:dyDescent="0.25">
      <c r="A224" t="s">
        <v>358</v>
      </c>
      <c r="B224" s="5">
        <v>45744</v>
      </c>
      <c r="C224" t="s">
        <v>204</v>
      </c>
      <c r="D224" t="s">
        <v>215</v>
      </c>
      <c r="E224" t="s">
        <v>62</v>
      </c>
      <c r="F224">
        <v>3</v>
      </c>
      <c r="G224" s="1">
        <v>679.8</v>
      </c>
      <c r="H224" s="1">
        <v>426</v>
      </c>
      <c r="I224" s="5">
        <v>45747</v>
      </c>
      <c r="J224" t="s">
        <v>23</v>
      </c>
      <c r="K224" t="s">
        <v>17</v>
      </c>
      <c r="L224" t="s">
        <v>25</v>
      </c>
      <c r="M224" s="1">
        <f>(orders[[#This Row],[Revenue]]-orders[[#This Row],[Cost]])</f>
        <v>253.79999999999995</v>
      </c>
      <c r="N224" s="8">
        <f>IFERROR(orders[[#This Row],[profit]]/orders[[#This Row],[Revenue]],0)</f>
        <v>0.37334510150044126</v>
      </c>
      <c r="O224">
        <f>IF(orders[[#This Row],[Delivery Date]]="","",(orders[[#This Row],[Delivery Date]]-orders[[#This Row],[Date]]))</f>
        <v>3</v>
      </c>
      <c r="P224" t="str">
        <f>IF(orders[[#This Row],[delivery days]]="","Not Delivered",IF(orders[[#This Row],[delivery days]]&lt;=2,"Fast",IF(orders[[#This Row],[delivery days]]&lt;=5,"Normal","Delayed")))</f>
        <v>Normal</v>
      </c>
    </row>
    <row r="225" spans="1:16" x14ac:dyDescent="0.25">
      <c r="A225" t="s">
        <v>359</v>
      </c>
      <c r="B225" s="5">
        <v>45744</v>
      </c>
      <c r="C225" t="s">
        <v>57</v>
      </c>
      <c r="D225" t="s">
        <v>108</v>
      </c>
      <c r="E225" t="s">
        <v>22</v>
      </c>
      <c r="F225">
        <v>2</v>
      </c>
      <c r="G225" s="1">
        <v>190</v>
      </c>
      <c r="H225" s="1">
        <v>84</v>
      </c>
      <c r="I225" s="5">
        <v>45751</v>
      </c>
      <c r="J225" t="s">
        <v>52</v>
      </c>
      <c r="K225" t="s">
        <v>24</v>
      </c>
      <c r="L225" t="s">
        <v>25</v>
      </c>
      <c r="M225" s="1">
        <f>(orders[[#This Row],[Revenue]]-orders[[#This Row],[Cost]])</f>
        <v>106</v>
      </c>
      <c r="N225" s="8">
        <f>IFERROR(orders[[#This Row],[profit]]/orders[[#This Row],[Revenue]],0)</f>
        <v>0.55789473684210522</v>
      </c>
      <c r="O225">
        <f>IF(orders[[#This Row],[Delivery Date]]="","",(orders[[#This Row],[Delivery Date]]-orders[[#This Row],[Date]]))</f>
        <v>7</v>
      </c>
      <c r="P225" t="str">
        <f>IF(orders[[#This Row],[delivery days]]="","Not Delivered",IF(orders[[#This Row],[delivery days]]&lt;=2,"Fast",IF(orders[[#This Row],[delivery days]]&lt;=5,"Normal","Delayed")))</f>
        <v>Delayed</v>
      </c>
    </row>
    <row r="226" spans="1:16" x14ac:dyDescent="0.25">
      <c r="A226" t="s">
        <v>360</v>
      </c>
      <c r="B226" s="5">
        <v>45745</v>
      </c>
      <c r="C226" t="s">
        <v>191</v>
      </c>
      <c r="D226" t="s">
        <v>110</v>
      </c>
      <c r="E226" t="s">
        <v>39</v>
      </c>
      <c r="F226">
        <v>1</v>
      </c>
      <c r="G226" s="1">
        <v>193.2</v>
      </c>
      <c r="H226" s="1">
        <v>125</v>
      </c>
      <c r="I226" s="5">
        <v>45748</v>
      </c>
      <c r="J226" t="s">
        <v>30</v>
      </c>
      <c r="K226" t="s">
        <v>35</v>
      </c>
      <c r="L226" t="s">
        <v>25</v>
      </c>
      <c r="M226" s="1">
        <f>(orders[[#This Row],[Revenue]]-orders[[#This Row],[Cost]])</f>
        <v>68.199999999999989</v>
      </c>
      <c r="N226" s="8">
        <f>IFERROR(orders[[#This Row],[profit]]/orders[[#This Row],[Revenue]],0)</f>
        <v>0.35300207039337472</v>
      </c>
      <c r="O226">
        <f>IF(orders[[#This Row],[Delivery Date]]="","",(orders[[#This Row],[Delivery Date]]-orders[[#This Row],[Date]]))</f>
        <v>3</v>
      </c>
      <c r="P226" t="str">
        <f>IF(orders[[#This Row],[delivery days]]="","Not Delivered",IF(orders[[#This Row],[delivery days]]&lt;=2,"Fast",IF(orders[[#This Row],[delivery days]]&lt;=5,"Normal","Delayed")))</f>
        <v>Normal</v>
      </c>
    </row>
    <row r="227" spans="1:16" x14ac:dyDescent="0.25">
      <c r="A227" t="s">
        <v>361</v>
      </c>
      <c r="B227" s="5">
        <v>45745</v>
      </c>
      <c r="C227" t="s">
        <v>191</v>
      </c>
      <c r="D227" t="s">
        <v>125</v>
      </c>
      <c r="E227" t="s">
        <v>62</v>
      </c>
      <c r="F227">
        <v>1</v>
      </c>
      <c r="G227" s="1">
        <v>145</v>
      </c>
      <c r="H227" s="1">
        <v>82</v>
      </c>
      <c r="I227" s="5">
        <v>45749</v>
      </c>
      <c r="J227" t="s">
        <v>46</v>
      </c>
      <c r="K227" t="s">
        <v>24</v>
      </c>
      <c r="L227" t="s">
        <v>25</v>
      </c>
      <c r="M227" s="1">
        <f>(orders[[#This Row],[Revenue]]-orders[[#This Row],[Cost]])</f>
        <v>63</v>
      </c>
      <c r="N227" s="8">
        <f>IFERROR(orders[[#This Row],[profit]]/orders[[#This Row],[Revenue]],0)</f>
        <v>0.43448275862068964</v>
      </c>
      <c r="O227">
        <f>IF(orders[[#This Row],[Delivery Date]]="","",(orders[[#This Row],[Delivery Date]]-orders[[#This Row],[Date]]))</f>
        <v>4</v>
      </c>
      <c r="P227" t="str">
        <f>IF(orders[[#This Row],[delivery days]]="","Not Delivered",IF(orders[[#This Row],[delivery days]]&lt;=2,"Fast",IF(orders[[#This Row],[delivery days]]&lt;=5,"Normal","Delayed")))</f>
        <v>Normal</v>
      </c>
    </row>
    <row r="228" spans="1:16" x14ac:dyDescent="0.25">
      <c r="A228" t="s">
        <v>362</v>
      </c>
      <c r="B228" s="5">
        <v>45746</v>
      </c>
      <c r="C228" t="s">
        <v>82</v>
      </c>
      <c r="D228" t="s">
        <v>163</v>
      </c>
      <c r="E228" t="s">
        <v>39</v>
      </c>
      <c r="F228">
        <v>2</v>
      </c>
      <c r="G228" s="1">
        <v>195.7</v>
      </c>
      <c r="H228" s="1">
        <v>104</v>
      </c>
      <c r="I228" s="5">
        <v>45749</v>
      </c>
      <c r="J228" t="s">
        <v>30</v>
      </c>
      <c r="K228" t="s">
        <v>17</v>
      </c>
      <c r="L228" t="s">
        <v>25</v>
      </c>
      <c r="M228" s="1">
        <f>(orders[[#This Row],[Revenue]]-orders[[#This Row],[Cost]])</f>
        <v>91.699999999999989</v>
      </c>
      <c r="N228" s="8">
        <f>IFERROR(orders[[#This Row],[profit]]/orders[[#This Row],[Revenue]],0)</f>
        <v>0.46857434849259066</v>
      </c>
      <c r="O228">
        <f>IF(orders[[#This Row],[Delivery Date]]="","",(orders[[#This Row],[Delivery Date]]-orders[[#This Row],[Date]]))</f>
        <v>3</v>
      </c>
      <c r="P228" t="str">
        <f>IF(orders[[#This Row],[delivery days]]="","Not Delivered",IF(orders[[#This Row],[delivery days]]&lt;=2,"Fast",IF(orders[[#This Row],[delivery days]]&lt;=5,"Normal","Delayed")))</f>
        <v>Normal</v>
      </c>
    </row>
    <row r="229" spans="1:16" x14ac:dyDescent="0.25">
      <c r="A229" t="s">
        <v>363</v>
      </c>
      <c r="B229" s="5">
        <v>45746</v>
      </c>
      <c r="C229" t="s">
        <v>200</v>
      </c>
      <c r="D229" t="s">
        <v>224</v>
      </c>
      <c r="E229" t="s">
        <v>77</v>
      </c>
      <c r="F229">
        <v>4</v>
      </c>
      <c r="G229" s="1">
        <v>500</v>
      </c>
      <c r="H229" s="1">
        <v>262.64</v>
      </c>
      <c r="I229" s="5">
        <v>45747</v>
      </c>
      <c r="J229" t="s">
        <v>30</v>
      </c>
      <c r="K229" t="s">
        <v>35</v>
      </c>
      <c r="L229" t="s">
        <v>25</v>
      </c>
      <c r="M229" s="1">
        <f>(orders[[#This Row],[Revenue]]-orders[[#This Row],[Cost]])</f>
        <v>237.36</v>
      </c>
      <c r="N229" s="8">
        <f>IFERROR(orders[[#This Row],[profit]]/orders[[#This Row],[Revenue]],0)</f>
        <v>0.47472000000000003</v>
      </c>
      <c r="O229">
        <f>IF(orders[[#This Row],[Delivery Date]]="","",(orders[[#This Row],[Delivery Date]]-orders[[#This Row],[Date]]))</f>
        <v>1</v>
      </c>
      <c r="P229" t="str">
        <f>IF(orders[[#This Row],[delivery days]]="","Not Delivered",IF(orders[[#This Row],[delivery days]]&lt;=2,"Fast",IF(orders[[#This Row],[delivery days]]&lt;=5,"Normal","Delayed")))</f>
        <v>Fast</v>
      </c>
    </row>
    <row r="230" spans="1:16" x14ac:dyDescent="0.25">
      <c r="A230" t="s">
        <v>364</v>
      </c>
      <c r="B230" s="5">
        <v>45746</v>
      </c>
      <c r="C230" t="s">
        <v>142</v>
      </c>
      <c r="D230" t="s">
        <v>224</v>
      </c>
      <c r="E230" t="s">
        <v>77</v>
      </c>
      <c r="F230">
        <v>3</v>
      </c>
      <c r="G230" s="1">
        <v>345</v>
      </c>
      <c r="H230" s="1">
        <v>201</v>
      </c>
      <c r="I230" s="5">
        <v>45748</v>
      </c>
      <c r="J230" t="s">
        <v>30</v>
      </c>
      <c r="K230" t="s">
        <v>35</v>
      </c>
      <c r="L230" t="s">
        <v>25</v>
      </c>
      <c r="M230" s="1">
        <f>(orders[[#This Row],[Revenue]]-orders[[#This Row],[Cost]])</f>
        <v>144</v>
      </c>
      <c r="N230" s="8">
        <f>IFERROR(orders[[#This Row],[profit]]/orders[[#This Row],[Revenue]],0)</f>
        <v>0.41739130434782606</v>
      </c>
      <c r="O230">
        <f>IF(orders[[#This Row],[Delivery Date]]="","",(orders[[#This Row],[Delivery Date]]-orders[[#This Row],[Date]]))</f>
        <v>2</v>
      </c>
      <c r="P230" t="str">
        <f>IF(orders[[#This Row],[delivery days]]="","Not Delivered",IF(orders[[#This Row],[delivery days]]&lt;=2,"Fast",IF(orders[[#This Row],[delivery days]]&lt;=5,"Normal","Delayed")))</f>
        <v>Fast</v>
      </c>
    </row>
    <row r="231" spans="1:16" x14ac:dyDescent="0.25">
      <c r="A231" t="s">
        <v>365</v>
      </c>
      <c r="B231" s="5">
        <v>45746</v>
      </c>
      <c r="C231" t="s">
        <v>155</v>
      </c>
      <c r="D231" t="s">
        <v>159</v>
      </c>
      <c r="E231" t="s">
        <v>39</v>
      </c>
      <c r="F231">
        <v>1</v>
      </c>
      <c r="G231" s="1">
        <v>106.7</v>
      </c>
      <c r="H231" s="1">
        <v>62</v>
      </c>
      <c r="I231" s="5">
        <v>45750</v>
      </c>
      <c r="J231" t="s">
        <v>101</v>
      </c>
      <c r="K231" t="s">
        <v>47</v>
      </c>
      <c r="L231" t="s">
        <v>25</v>
      </c>
      <c r="M231" s="1">
        <f>(orders[[#This Row],[Revenue]]-orders[[#This Row],[Cost]])</f>
        <v>44.7</v>
      </c>
      <c r="N231" s="8">
        <f>IFERROR(orders[[#This Row],[profit]]/orders[[#This Row],[Revenue]],0)</f>
        <v>0.41893158388003748</v>
      </c>
      <c r="O231">
        <f>IF(orders[[#This Row],[Delivery Date]]="","",(orders[[#This Row],[Delivery Date]]-orders[[#This Row],[Date]]))</f>
        <v>4</v>
      </c>
      <c r="P231" t="str">
        <f>IF(orders[[#This Row],[delivery days]]="","Not Delivered",IF(orders[[#This Row],[delivery days]]&lt;=2,"Fast",IF(orders[[#This Row],[delivery days]]&lt;=5,"Normal","Delayed")))</f>
        <v>Normal</v>
      </c>
    </row>
    <row r="232" spans="1:16" x14ac:dyDescent="0.25">
      <c r="A232" t="s">
        <v>366</v>
      </c>
      <c r="B232" s="5">
        <v>45747</v>
      </c>
      <c r="C232" t="s">
        <v>181</v>
      </c>
      <c r="D232" t="s">
        <v>300</v>
      </c>
      <c r="E232" t="s">
        <v>77</v>
      </c>
      <c r="F232">
        <v>2</v>
      </c>
      <c r="G232" s="1">
        <v>780</v>
      </c>
      <c r="H232" s="1">
        <v>490</v>
      </c>
      <c r="I232" s="5">
        <v>45748</v>
      </c>
      <c r="J232" t="s">
        <v>30</v>
      </c>
      <c r="K232" t="s">
        <v>35</v>
      </c>
      <c r="L232" t="s">
        <v>25</v>
      </c>
      <c r="M232" s="1">
        <f>(orders[[#This Row],[Revenue]]-orders[[#This Row],[Cost]])</f>
        <v>290</v>
      </c>
      <c r="N232" s="8">
        <f>IFERROR(orders[[#This Row],[profit]]/orders[[#This Row],[Revenue]],0)</f>
        <v>0.37179487179487181</v>
      </c>
      <c r="O232">
        <f>IF(orders[[#This Row],[Delivery Date]]="","",(orders[[#This Row],[Delivery Date]]-orders[[#This Row],[Date]]))</f>
        <v>1</v>
      </c>
      <c r="P232" t="str">
        <f>IF(orders[[#This Row],[delivery days]]="","Not Delivered",IF(orders[[#This Row],[delivery days]]&lt;=2,"Fast",IF(orders[[#This Row],[delivery days]]&lt;=5,"Normal","Delayed")))</f>
        <v>Fast</v>
      </c>
    </row>
    <row r="233" spans="1:16" x14ac:dyDescent="0.25">
      <c r="A233" t="s">
        <v>367</v>
      </c>
      <c r="B233" s="5">
        <v>45747</v>
      </c>
      <c r="C233" t="s">
        <v>44</v>
      </c>
      <c r="D233" t="s">
        <v>108</v>
      </c>
      <c r="E233" t="s">
        <v>22</v>
      </c>
      <c r="F233">
        <v>2</v>
      </c>
      <c r="G233" s="1">
        <v>174.8</v>
      </c>
      <c r="H233" s="1">
        <v>82.32</v>
      </c>
      <c r="I233" s="5">
        <v>45750</v>
      </c>
      <c r="J233" t="s">
        <v>30</v>
      </c>
      <c r="K233" t="s">
        <v>35</v>
      </c>
      <c r="L233" t="s">
        <v>25</v>
      </c>
      <c r="M233" s="1">
        <f>(orders[[#This Row],[Revenue]]-orders[[#This Row],[Cost]])</f>
        <v>92.480000000000018</v>
      </c>
      <c r="N233" s="8">
        <f>IFERROR(orders[[#This Row],[profit]]/orders[[#This Row],[Revenue]],0)</f>
        <v>0.52906178489702527</v>
      </c>
      <c r="O233">
        <f>IF(orders[[#This Row],[Delivery Date]]="","",(orders[[#This Row],[Delivery Date]]-orders[[#This Row],[Date]]))</f>
        <v>3</v>
      </c>
      <c r="P233" t="str">
        <f>IF(orders[[#This Row],[delivery days]]="","Not Delivered",IF(orders[[#This Row],[delivery days]]&lt;=2,"Fast",IF(orders[[#This Row],[delivery days]]&lt;=5,"Normal","Delayed")))</f>
        <v>Normal</v>
      </c>
    </row>
    <row r="234" spans="1:16" x14ac:dyDescent="0.25">
      <c r="A234" t="s">
        <v>368</v>
      </c>
      <c r="B234" s="5">
        <v>45747</v>
      </c>
      <c r="C234" t="s">
        <v>72</v>
      </c>
      <c r="D234" t="s">
        <v>308</v>
      </c>
      <c r="E234" t="s">
        <v>22</v>
      </c>
      <c r="F234">
        <v>2</v>
      </c>
      <c r="G234" s="1">
        <v>145.5</v>
      </c>
      <c r="H234" s="1">
        <v>68</v>
      </c>
      <c r="I234" s="5"/>
      <c r="J234" t="s">
        <v>30</v>
      </c>
      <c r="K234" t="s">
        <v>35</v>
      </c>
      <c r="L234" t="s">
        <v>42</v>
      </c>
      <c r="M234" s="1">
        <f>(orders[[#This Row],[Revenue]]-orders[[#This Row],[Cost]])</f>
        <v>77.5</v>
      </c>
      <c r="N234" s="8">
        <f>IFERROR(orders[[#This Row],[profit]]/orders[[#This Row],[Revenue]],0)</f>
        <v>0.53264604810996563</v>
      </c>
      <c r="O234" t="str">
        <f>IF(orders[[#This Row],[Delivery Date]]="","",(orders[[#This Row],[Delivery Date]]-orders[[#This Row],[Date]]))</f>
        <v/>
      </c>
      <c r="P234" t="str">
        <f>IF(orders[[#This Row],[delivery days]]="","Not Delivered",IF(orders[[#This Row],[delivery days]]&lt;=2,"Fast",IF(orders[[#This Row],[delivery days]]&lt;=5,"Normal","Delayed")))</f>
        <v>Not Delivered</v>
      </c>
    </row>
    <row r="235" spans="1:16" x14ac:dyDescent="0.25">
      <c r="A235" t="s">
        <v>369</v>
      </c>
      <c r="B235" s="5">
        <v>45748</v>
      </c>
      <c r="C235" t="s">
        <v>90</v>
      </c>
      <c r="D235" t="s">
        <v>119</v>
      </c>
      <c r="E235" t="s">
        <v>39</v>
      </c>
      <c r="F235">
        <v>2</v>
      </c>
      <c r="G235" s="1">
        <v>113.3</v>
      </c>
      <c r="H235" s="1">
        <v>56</v>
      </c>
      <c r="I235" s="5">
        <v>45751</v>
      </c>
      <c r="J235" t="s">
        <v>30</v>
      </c>
      <c r="K235" t="s">
        <v>35</v>
      </c>
      <c r="L235" t="s">
        <v>25</v>
      </c>
      <c r="M235" s="1">
        <f>(orders[[#This Row],[Revenue]]-orders[[#This Row],[Cost]])</f>
        <v>57.3</v>
      </c>
      <c r="N235" s="8">
        <f>IFERROR(orders[[#This Row],[profit]]/orders[[#This Row],[Revenue]],0)</f>
        <v>0.50573698146513679</v>
      </c>
      <c r="O235">
        <f>IF(orders[[#This Row],[Delivery Date]]="","",(orders[[#This Row],[Delivery Date]]-orders[[#This Row],[Date]]))</f>
        <v>3</v>
      </c>
      <c r="P235" t="str">
        <f>IF(orders[[#This Row],[delivery days]]="","Not Delivered",IF(orders[[#This Row],[delivery days]]&lt;=2,"Fast",IF(orders[[#This Row],[delivery days]]&lt;=5,"Normal","Delayed")))</f>
        <v>Normal</v>
      </c>
    </row>
    <row r="236" spans="1:16" x14ac:dyDescent="0.25">
      <c r="A236" t="s">
        <v>370</v>
      </c>
      <c r="B236" s="5">
        <v>45748</v>
      </c>
      <c r="C236" t="s">
        <v>112</v>
      </c>
      <c r="D236" t="s">
        <v>58</v>
      </c>
      <c r="E236" t="s">
        <v>39</v>
      </c>
      <c r="F236">
        <v>2</v>
      </c>
      <c r="G236" s="1">
        <v>2425</v>
      </c>
      <c r="H236" s="1">
        <v>1800</v>
      </c>
      <c r="I236" s="5">
        <v>45751</v>
      </c>
      <c r="J236" t="s">
        <v>30</v>
      </c>
      <c r="K236" t="s">
        <v>17</v>
      </c>
      <c r="L236" t="s">
        <v>25</v>
      </c>
      <c r="M236" s="1">
        <f>(orders[[#This Row],[Revenue]]-orders[[#This Row],[Cost]])</f>
        <v>625</v>
      </c>
      <c r="N236" s="8">
        <f>IFERROR(orders[[#This Row],[profit]]/orders[[#This Row],[Revenue]],0)</f>
        <v>0.25773195876288657</v>
      </c>
      <c r="O236">
        <f>IF(orders[[#This Row],[Delivery Date]]="","",(orders[[#This Row],[Delivery Date]]-orders[[#This Row],[Date]]))</f>
        <v>3</v>
      </c>
      <c r="P236" t="str">
        <f>IF(orders[[#This Row],[delivery days]]="","Not Delivered",IF(orders[[#This Row],[delivery days]]&lt;=2,"Fast",IF(orders[[#This Row],[delivery days]]&lt;=5,"Normal","Delayed")))</f>
        <v>Normal</v>
      </c>
    </row>
    <row r="237" spans="1:16" x14ac:dyDescent="0.25">
      <c r="A237" t="s">
        <v>371</v>
      </c>
      <c r="B237" s="5">
        <v>45748</v>
      </c>
      <c r="C237" t="s">
        <v>57</v>
      </c>
      <c r="D237" t="s">
        <v>110</v>
      </c>
      <c r="E237" t="s">
        <v>39</v>
      </c>
      <c r="F237">
        <v>1</v>
      </c>
      <c r="G237" s="1">
        <v>203.7</v>
      </c>
      <c r="H237" s="1">
        <v>127.5</v>
      </c>
      <c r="I237" s="5">
        <v>45749</v>
      </c>
      <c r="J237" t="s">
        <v>30</v>
      </c>
      <c r="K237" t="s">
        <v>35</v>
      </c>
      <c r="L237" t="s">
        <v>25</v>
      </c>
      <c r="M237" s="1">
        <f>(orders[[#This Row],[Revenue]]-orders[[#This Row],[Cost]])</f>
        <v>76.199999999999989</v>
      </c>
      <c r="N237" s="8">
        <f>IFERROR(orders[[#This Row],[profit]]/orders[[#This Row],[Revenue]],0)</f>
        <v>0.37407952871870392</v>
      </c>
      <c r="O237">
        <f>IF(orders[[#This Row],[Delivery Date]]="","",(orders[[#This Row],[Delivery Date]]-orders[[#This Row],[Date]]))</f>
        <v>1</v>
      </c>
      <c r="P237" t="str">
        <f>IF(orders[[#This Row],[delivery days]]="","Not Delivered",IF(orders[[#This Row],[delivery days]]&lt;=2,"Fast",IF(orders[[#This Row],[delivery days]]&lt;=5,"Normal","Delayed")))</f>
        <v>Fast</v>
      </c>
    </row>
    <row r="238" spans="1:16" x14ac:dyDescent="0.25">
      <c r="A238" t="s">
        <v>372</v>
      </c>
      <c r="B238" s="5">
        <v>45748</v>
      </c>
      <c r="C238" t="s">
        <v>139</v>
      </c>
      <c r="D238" t="s">
        <v>70</v>
      </c>
      <c r="E238" t="s">
        <v>62</v>
      </c>
      <c r="F238">
        <v>2</v>
      </c>
      <c r="G238" s="1">
        <v>270</v>
      </c>
      <c r="H238" s="1">
        <v>152.88</v>
      </c>
      <c r="I238" s="5">
        <v>45752</v>
      </c>
      <c r="J238" t="s">
        <v>101</v>
      </c>
      <c r="K238" t="s">
        <v>47</v>
      </c>
      <c r="L238" t="s">
        <v>25</v>
      </c>
      <c r="M238" s="1">
        <f>(orders[[#This Row],[Revenue]]-orders[[#This Row],[Cost]])</f>
        <v>117.12</v>
      </c>
      <c r="N238" s="8">
        <f>IFERROR(orders[[#This Row],[profit]]/orders[[#This Row],[Revenue]],0)</f>
        <v>0.43377777777777782</v>
      </c>
      <c r="O238">
        <f>IF(orders[[#This Row],[Delivery Date]]="","",(orders[[#This Row],[Delivery Date]]-orders[[#This Row],[Date]]))</f>
        <v>4</v>
      </c>
      <c r="P238" t="str">
        <f>IF(orders[[#This Row],[delivery days]]="","Not Delivered",IF(orders[[#This Row],[delivery days]]&lt;=2,"Fast",IF(orders[[#This Row],[delivery days]]&lt;=5,"Normal","Delayed")))</f>
        <v>Normal</v>
      </c>
    </row>
    <row r="239" spans="1:16" x14ac:dyDescent="0.25">
      <c r="A239" t="s">
        <v>373</v>
      </c>
      <c r="B239" s="5">
        <v>45748</v>
      </c>
      <c r="C239" t="s">
        <v>121</v>
      </c>
      <c r="D239" t="s">
        <v>33</v>
      </c>
      <c r="E239" t="s">
        <v>34</v>
      </c>
      <c r="F239">
        <v>1</v>
      </c>
      <c r="G239" s="1">
        <v>58</v>
      </c>
      <c r="H239" s="1">
        <v>25</v>
      </c>
      <c r="I239" s="5"/>
      <c r="J239" t="s">
        <v>46</v>
      </c>
      <c r="K239" t="s">
        <v>47</v>
      </c>
      <c r="L239" t="s">
        <v>42</v>
      </c>
      <c r="M239" s="1">
        <f>(orders[[#This Row],[Revenue]]-orders[[#This Row],[Cost]])</f>
        <v>33</v>
      </c>
      <c r="N239" s="8">
        <f>IFERROR(orders[[#This Row],[profit]]/orders[[#This Row],[Revenue]],0)</f>
        <v>0.56896551724137934</v>
      </c>
      <c r="O239" t="str">
        <f>IF(orders[[#This Row],[Delivery Date]]="","",(orders[[#This Row],[Delivery Date]]-orders[[#This Row],[Date]]))</f>
        <v/>
      </c>
      <c r="P239" t="str">
        <f>IF(orders[[#This Row],[delivery days]]="","Not Delivered",IF(orders[[#This Row],[delivery days]]&lt;=2,"Fast",IF(orders[[#This Row],[delivery days]]&lt;=5,"Normal","Delayed")))</f>
        <v>Not Delivered</v>
      </c>
    </row>
    <row r="240" spans="1:16" x14ac:dyDescent="0.25">
      <c r="A240" t="s">
        <v>374</v>
      </c>
      <c r="B240" s="5">
        <v>45749</v>
      </c>
      <c r="C240" t="s">
        <v>79</v>
      </c>
      <c r="D240" t="s">
        <v>110</v>
      </c>
      <c r="E240" t="s">
        <v>39</v>
      </c>
      <c r="F240">
        <v>4</v>
      </c>
      <c r="G240" s="1">
        <v>840</v>
      </c>
      <c r="H240" s="1">
        <v>510</v>
      </c>
      <c r="I240" s="5">
        <v>45753</v>
      </c>
      <c r="J240" t="s">
        <v>23</v>
      </c>
      <c r="K240" t="s">
        <v>17</v>
      </c>
      <c r="L240" t="s">
        <v>25</v>
      </c>
      <c r="M240" s="1">
        <f>(orders[[#This Row],[Revenue]]-orders[[#This Row],[Cost]])</f>
        <v>330</v>
      </c>
      <c r="N240" s="8">
        <f>IFERROR(orders[[#This Row],[profit]]/orders[[#This Row],[Revenue]],0)</f>
        <v>0.39285714285714285</v>
      </c>
      <c r="O240">
        <f>IF(orders[[#This Row],[Delivery Date]]="","",(orders[[#This Row],[Delivery Date]]-orders[[#This Row],[Date]]))</f>
        <v>4</v>
      </c>
      <c r="P240" t="str">
        <f>IF(orders[[#This Row],[delivery days]]="","Not Delivered",IF(orders[[#This Row],[delivery days]]&lt;=2,"Fast",IF(orders[[#This Row],[delivery days]]&lt;=5,"Normal","Delayed")))</f>
        <v>Normal</v>
      </c>
    </row>
    <row r="241" spans="1:16" x14ac:dyDescent="0.25">
      <c r="A241" t="s">
        <v>375</v>
      </c>
      <c r="B241" s="5">
        <v>45749</v>
      </c>
      <c r="C241" t="s">
        <v>60</v>
      </c>
      <c r="D241" t="s">
        <v>300</v>
      </c>
      <c r="E241" t="s">
        <v>77</v>
      </c>
      <c r="F241">
        <v>1</v>
      </c>
      <c r="G241" s="1">
        <v>401.7</v>
      </c>
      <c r="H241" s="1">
        <v>245</v>
      </c>
      <c r="I241" s="5">
        <v>45751</v>
      </c>
      <c r="J241" t="s">
        <v>30</v>
      </c>
      <c r="K241" t="s">
        <v>35</v>
      </c>
      <c r="L241" t="s">
        <v>25</v>
      </c>
      <c r="M241" s="1">
        <f>(orders[[#This Row],[Revenue]]-orders[[#This Row],[Cost]])</f>
        <v>156.69999999999999</v>
      </c>
      <c r="N241" s="8">
        <f>IFERROR(orders[[#This Row],[profit]]/orders[[#This Row],[Revenue]],0)</f>
        <v>0.39009210853871046</v>
      </c>
      <c r="O241">
        <f>IF(orders[[#This Row],[Delivery Date]]="","",(orders[[#This Row],[Delivery Date]]-orders[[#This Row],[Date]]))</f>
        <v>2</v>
      </c>
      <c r="P241" t="str">
        <f>IF(orders[[#This Row],[delivery days]]="","Not Delivered",IF(orders[[#This Row],[delivery days]]&lt;=2,"Fast",IF(orders[[#This Row],[delivery days]]&lt;=5,"Normal","Delayed")))</f>
        <v>Fast</v>
      </c>
    </row>
    <row r="242" spans="1:16" x14ac:dyDescent="0.25">
      <c r="A242" t="s">
        <v>376</v>
      </c>
      <c r="B242" s="5">
        <v>45749</v>
      </c>
      <c r="C242" t="s">
        <v>121</v>
      </c>
      <c r="D242" t="s">
        <v>108</v>
      </c>
      <c r="E242" t="s">
        <v>22</v>
      </c>
      <c r="F242">
        <v>1</v>
      </c>
      <c r="G242" s="1">
        <v>95</v>
      </c>
      <c r="H242" s="1">
        <v>42</v>
      </c>
      <c r="I242" s="5">
        <v>45753</v>
      </c>
      <c r="J242" t="s">
        <v>30</v>
      </c>
      <c r="K242" t="s">
        <v>17</v>
      </c>
      <c r="L242" t="s">
        <v>25</v>
      </c>
      <c r="M242" s="1">
        <f>(orders[[#This Row],[Revenue]]-orders[[#This Row],[Cost]])</f>
        <v>53</v>
      </c>
      <c r="N242" s="8">
        <f>IFERROR(orders[[#This Row],[profit]]/orders[[#This Row],[Revenue]],0)</f>
        <v>0.55789473684210522</v>
      </c>
      <c r="O242">
        <f>IF(orders[[#This Row],[Delivery Date]]="","",(orders[[#This Row],[Delivery Date]]-orders[[#This Row],[Date]]))</f>
        <v>4</v>
      </c>
      <c r="P242" t="str">
        <f>IF(orders[[#This Row],[delivery days]]="","Not Delivered",IF(orders[[#This Row],[delivery days]]&lt;=2,"Fast",IF(orders[[#This Row],[delivery days]]&lt;=5,"Normal","Delayed")))</f>
        <v>Normal</v>
      </c>
    </row>
    <row r="243" spans="1:16" x14ac:dyDescent="0.25">
      <c r="A243" t="s">
        <v>377</v>
      </c>
      <c r="B243" s="5">
        <v>45750</v>
      </c>
      <c r="C243" t="s">
        <v>67</v>
      </c>
      <c r="D243" t="s">
        <v>119</v>
      </c>
      <c r="E243" t="s">
        <v>39</v>
      </c>
      <c r="F243">
        <v>1</v>
      </c>
      <c r="G243" s="1">
        <v>56.65</v>
      </c>
      <c r="H243" s="1">
        <v>27.44</v>
      </c>
      <c r="I243" s="5">
        <v>45754</v>
      </c>
      <c r="J243" t="s">
        <v>101</v>
      </c>
      <c r="K243" t="s">
        <v>47</v>
      </c>
      <c r="L243" t="s">
        <v>25</v>
      </c>
      <c r="M243" s="1">
        <f>(orders[[#This Row],[Revenue]]-orders[[#This Row],[Cost]])</f>
        <v>29.209999999999997</v>
      </c>
      <c r="N243" s="8">
        <f>IFERROR(orders[[#This Row],[profit]]/orders[[#This Row],[Revenue]],0)</f>
        <v>0.51562224183583405</v>
      </c>
      <c r="O243">
        <f>IF(orders[[#This Row],[Delivery Date]]="","",(orders[[#This Row],[Delivery Date]]-orders[[#This Row],[Date]]))</f>
        <v>4</v>
      </c>
      <c r="P243" t="str">
        <f>IF(orders[[#This Row],[delivery days]]="","Not Delivered",IF(orders[[#This Row],[delivery days]]&lt;=2,"Fast",IF(orders[[#This Row],[delivery days]]&lt;=5,"Normal","Delayed")))</f>
        <v>Normal</v>
      </c>
    </row>
    <row r="244" spans="1:16" x14ac:dyDescent="0.25">
      <c r="A244" t="s">
        <v>378</v>
      </c>
      <c r="B244" s="5">
        <v>45750</v>
      </c>
      <c r="C244" t="s">
        <v>94</v>
      </c>
      <c r="D244" t="s">
        <v>224</v>
      </c>
      <c r="E244" t="s">
        <v>77</v>
      </c>
      <c r="F244">
        <v>1</v>
      </c>
      <c r="G244" s="1">
        <v>121.25</v>
      </c>
      <c r="H244" s="1">
        <v>67</v>
      </c>
      <c r="I244" s="5">
        <v>45752</v>
      </c>
      <c r="J244" t="s">
        <v>30</v>
      </c>
      <c r="K244" t="s">
        <v>35</v>
      </c>
      <c r="L244" t="s">
        <v>25</v>
      </c>
      <c r="M244" s="1">
        <f>(orders[[#This Row],[Revenue]]-orders[[#This Row],[Cost]])</f>
        <v>54.25</v>
      </c>
      <c r="N244" s="8">
        <f>IFERROR(orders[[#This Row],[profit]]/orders[[#This Row],[Revenue]],0)</f>
        <v>0.44742268041237115</v>
      </c>
      <c r="O244">
        <f>IF(orders[[#This Row],[Delivery Date]]="","",(orders[[#This Row],[Delivery Date]]-orders[[#This Row],[Date]]))</f>
        <v>2</v>
      </c>
      <c r="P244" t="str">
        <f>IF(orders[[#This Row],[delivery days]]="","Not Delivered",IF(orders[[#This Row],[delivery days]]&lt;=2,"Fast",IF(orders[[#This Row],[delivery days]]&lt;=5,"Normal","Delayed")))</f>
        <v>Fast</v>
      </c>
    </row>
    <row r="245" spans="1:16" x14ac:dyDescent="0.25">
      <c r="A245" t="s">
        <v>379</v>
      </c>
      <c r="B245" s="5">
        <v>45750</v>
      </c>
      <c r="C245" t="s">
        <v>88</v>
      </c>
      <c r="D245" t="s">
        <v>80</v>
      </c>
      <c r="E245" t="s">
        <v>77</v>
      </c>
      <c r="F245">
        <v>5</v>
      </c>
      <c r="G245" s="1">
        <v>375</v>
      </c>
      <c r="H245" s="1">
        <v>190</v>
      </c>
      <c r="I245" s="5">
        <v>45754</v>
      </c>
      <c r="J245" t="s">
        <v>46</v>
      </c>
      <c r="K245" t="s">
        <v>47</v>
      </c>
      <c r="L245" t="s">
        <v>25</v>
      </c>
      <c r="M245" s="1">
        <f>(orders[[#This Row],[Revenue]]-orders[[#This Row],[Cost]])</f>
        <v>185</v>
      </c>
      <c r="N245" s="8">
        <f>IFERROR(orders[[#This Row],[profit]]/orders[[#This Row],[Revenue]],0)</f>
        <v>0.49333333333333335</v>
      </c>
      <c r="O245">
        <f>IF(orders[[#This Row],[Delivery Date]]="","",(orders[[#This Row],[Delivery Date]]-orders[[#This Row],[Date]]))</f>
        <v>4</v>
      </c>
      <c r="P245" t="str">
        <f>IF(orders[[#This Row],[delivery days]]="","Not Delivered",IF(orders[[#This Row],[delivery days]]&lt;=2,"Fast",IF(orders[[#This Row],[delivery days]]&lt;=5,"Normal","Delayed")))</f>
        <v>Normal</v>
      </c>
    </row>
    <row r="246" spans="1:16" x14ac:dyDescent="0.25">
      <c r="A246" t="s">
        <v>380</v>
      </c>
      <c r="B246" s="5">
        <v>45750</v>
      </c>
      <c r="C246" t="s">
        <v>200</v>
      </c>
      <c r="D246" t="s">
        <v>100</v>
      </c>
      <c r="E246" t="s">
        <v>34</v>
      </c>
      <c r="F246">
        <v>1</v>
      </c>
      <c r="G246" s="1">
        <v>56.16</v>
      </c>
      <c r="H246" s="1">
        <v>23</v>
      </c>
      <c r="I246" s="5"/>
      <c r="J246" t="s">
        <v>30</v>
      </c>
      <c r="K246" t="s">
        <v>17</v>
      </c>
      <c r="L246" t="s">
        <v>42</v>
      </c>
      <c r="M246" s="1">
        <f>(orders[[#This Row],[Revenue]]-orders[[#This Row],[Cost]])</f>
        <v>33.159999999999997</v>
      </c>
      <c r="N246" s="8">
        <f>IFERROR(orders[[#This Row],[profit]]/orders[[#This Row],[Revenue]],0)</f>
        <v>0.59045584045584043</v>
      </c>
      <c r="O246" t="str">
        <f>IF(orders[[#This Row],[Delivery Date]]="","",(orders[[#This Row],[Delivery Date]]-orders[[#This Row],[Date]]))</f>
        <v/>
      </c>
      <c r="P246" t="str">
        <f>IF(orders[[#This Row],[delivery days]]="","Not Delivered",IF(orders[[#This Row],[delivery days]]&lt;=2,"Fast",IF(orders[[#This Row],[delivery days]]&lt;=5,"Normal","Delayed")))</f>
        <v>Not Delivered</v>
      </c>
    </row>
    <row r="247" spans="1:16" x14ac:dyDescent="0.25">
      <c r="A247" t="s">
        <v>381</v>
      </c>
      <c r="B247" s="5">
        <v>45751</v>
      </c>
      <c r="C247" t="s">
        <v>382</v>
      </c>
      <c r="D247" t="s">
        <v>215</v>
      </c>
      <c r="E247" t="s">
        <v>62</v>
      </c>
      <c r="F247">
        <v>1</v>
      </c>
      <c r="G247" s="1">
        <v>213.4</v>
      </c>
      <c r="H247" s="1">
        <v>142</v>
      </c>
      <c r="I247" s="5">
        <v>45754</v>
      </c>
      <c r="J247" t="s">
        <v>30</v>
      </c>
      <c r="K247" t="s">
        <v>17</v>
      </c>
      <c r="L247" t="s">
        <v>25</v>
      </c>
      <c r="M247" s="1">
        <f>(orders[[#This Row],[Revenue]]-orders[[#This Row],[Cost]])</f>
        <v>71.400000000000006</v>
      </c>
      <c r="N247" s="8">
        <f>IFERROR(orders[[#This Row],[profit]]/orders[[#This Row],[Revenue]],0)</f>
        <v>0.33458294283036555</v>
      </c>
      <c r="O247">
        <f>IF(orders[[#This Row],[Delivery Date]]="","",(orders[[#This Row],[Delivery Date]]-orders[[#This Row],[Date]]))</f>
        <v>3</v>
      </c>
      <c r="P247" t="str">
        <f>IF(orders[[#This Row],[delivery days]]="","Not Delivered",IF(orders[[#This Row],[delivery days]]&lt;=2,"Fast",IF(orders[[#This Row],[delivery days]]&lt;=5,"Normal","Delayed")))</f>
        <v>Normal</v>
      </c>
    </row>
    <row r="248" spans="1:16" x14ac:dyDescent="0.25">
      <c r="A248" t="s">
        <v>383</v>
      </c>
      <c r="B248" s="5">
        <v>45751</v>
      </c>
      <c r="C248" t="s">
        <v>116</v>
      </c>
      <c r="D248" t="s">
        <v>308</v>
      </c>
      <c r="E248" t="s">
        <v>22</v>
      </c>
      <c r="F248">
        <v>2</v>
      </c>
      <c r="G248" s="1">
        <v>145.5</v>
      </c>
      <c r="H248" s="1">
        <v>68</v>
      </c>
      <c r="I248" s="5">
        <v>45757</v>
      </c>
      <c r="J248" t="s">
        <v>30</v>
      </c>
      <c r="K248" t="s">
        <v>17</v>
      </c>
      <c r="L248" t="s">
        <v>25</v>
      </c>
      <c r="M248" s="1">
        <f>(orders[[#This Row],[Revenue]]-orders[[#This Row],[Cost]])</f>
        <v>77.5</v>
      </c>
      <c r="N248" s="8">
        <f>IFERROR(orders[[#This Row],[profit]]/orders[[#This Row],[Revenue]],0)</f>
        <v>0.53264604810996563</v>
      </c>
      <c r="O248">
        <f>IF(orders[[#This Row],[Delivery Date]]="","",(orders[[#This Row],[Delivery Date]]-orders[[#This Row],[Date]]))</f>
        <v>6</v>
      </c>
      <c r="P248" t="str">
        <f>IF(orders[[#This Row],[delivery days]]="","Not Delivered",IF(orders[[#This Row],[delivery days]]&lt;=2,"Fast",IF(orders[[#This Row],[delivery days]]&lt;=5,"Normal","Delayed")))</f>
        <v>Delayed</v>
      </c>
    </row>
    <row r="249" spans="1:16" x14ac:dyDescent="0.25">
      <c r="A249" t="s">
        <v>384</v>
      </c>
      <c r="B249" s="5">
        <v>45751</v>
      </c>
      <c r="C249" t="s">
        <v>142</v>
      </c>
      <c r="D249" t="s">
        <v>300</v>
      </c>
      <c r="E249" t="s">
        <v>77</v>
      </c>
      <c r="F249">
        <v>2</v>
      </c>
      <c r="G249" s="1">
        <v>780</v>
      </c>
      <c r="H249" s="1">
        <v>490</v>
      </c>
      <c r="I249" s="5">
        <v>45754</v>
      </c>
      <c r="J249" t="s">
        <v>16</v>
      </c>
      <c r="K249" t="s">
        <v>17</v>
      </c>
      <c r="L249" t="s">
        <v>25</v>
      </c>
      <c r="M249" s="1">
        <f>(orders[[#This Row],[Revenue]]-orders[[#This Row],[Cost]])</f>
        <v>290</v>
      </c>
      <c r="N249" s="8">
        <f>IFERROR(orders[[#This Row],[profit]]/orders[[#This Row],[Revenue]],0)</f>
        <v>0.37179487179487181</v>
      </c>
      <c r="O249">
        <f>IF(orders[[#This Row],[Delivery Date]]="","",(orders[[#This Row],[Delivery Date]]-orders[[#This Row],[Date]]))</f>
        <v>3</v>
      </c>
      <c r="P249" t="str">
        <f>IF(orders[[#This Row],[delivery days]]="","Not Delivered",IF(orders[[#This Row],[delivery days]]&lt;=2,"Fast",IF(orders[[#This Row],[delivery days]]&lt;=5,"Normal","Delayed")))</f>
        <v>Normal</v>
      </c>
    </row>
    <row r="250" spans="1:16" x14ac:dyDescent="0.25">
      <c r="A250" t="s">
        <v>385</v>
      </c>
      <c r="B250" s="5">
        <v>45751</v>
      </c>
      <c r="C250" t="s">
        <v>99</v>
      </c>
      <c r="D250" t="s">
        <v>187</v>
      </c>
      <c r="E250" t="s">
        <v>15</v>
      </c>
      <c r="F250">
        <v>2</v>
      </c>
      <c r="G250" s="1">
        <v>67.900000000000006</v>
      </c>
      <c r="H250" s="1">
        <v>31.36</v>
      </c>
      <c r="I250" s="5">
        <v>45756</v>
      </c>
      <c r="J250" t="s">
        <v>16</v>
      </c>
      <c r="K250" t="s">
        <v>17</v>
      </c>
      <c r="L250" t="s">
        <v>25</v>
      </c>
      <c r="M250" s="1">
        <f>(orders[[#This Row],[Revenue]]-orders[[#This Row],[Cost]])</f>
        <v>36.540000000000006</v>
      </c>
      <c r="N250" s="8">
        <f>IFERROR(orders[[#This Row],[profit]]/orders[[#This Row],[Revenue]],0)</f>
        <v>0.5381443298969073</v>
      </c>
      <c r="O250">
        <f>IF(orders[[#This Row],[Delivery Date]]="","",(orders[[#This Row],[Delivery Date]]-orders[[#This Row],[Date]]))</f>
        <v>5</v>
      </c>
      <c r="P250" t="str">
        <f>IF(orders[[#This Row],[delivery days]]="","Not Delivered",IF(orders[[#This Row],[delivery days]]&lt;=2,"Fast",IF(orders[[#This Row],[delivery days]]&lt;=5,"Normal","Delayed")))</f>
        <v>Normal</v>
      </c>
    </row>
    <row r="251" spans="1:16" x14ac:dyDescent="0.25">
      <c r="A251" t="s">
        <v>386</v>
      </c>
      <c r="B251" s="5">
        <v>45753</v>
      </c>
      <c r="C251" t="s">
        <v>228</v>
      </c>
      <c r="D251" t="s">
        <v>58</v>
      </c>
      <c r="E251" t="s">
        <v>39</v>
      </c>
      <c r="F251">
        <v>1</v>
      </c>
      <c r="G251" s="1">
        <v>1250</v>
      </c>
      <c r="H251" s="1">
        <v>918</v>
      </c>
      <c r="I251" s="5">
        <v>45757</v>
      </c>
      <c r="J251" t="s">
        <v>16</v>
      </c>
      <c r="K251" t="s">
        <v>17</v>
      </c>
      <c r="L251" t="s">
        <v>25</v>
      </c>
      <c r="M251" s="1">
        <f>(orders[[#This Row],[Revenue]]-orders[[#This Row],[Cost]])</f>
        <v>332</v>
      </c>
      <c r="N251" s="8">
        <f>IFERROR(orders[[#This Row],[profit]]/orders[[#This Row],[Revenue]],0)</f>
        <v>0.2656</v>
      </c>
      <c r="O251">
        <f>IF(orders[[#This Row],[Delivery Date]]="","",(orders[[#This Row],[Delivery Date]]-orders[[#This Row],[Date]]))</f>
        <v>4</v>
      </c>
      <c r="P251" t="str">
        <f>IF(orders[[#This Row],[delivery days]]="","Not Delivered",IF(orders[[#This Row],[delivery days]]&lt;=2,"Fast",IF(orders[[#This Row],[delivery days]]&lt;=5,"Normal","Delayed")))</f>
        <v>Normal</v>
      </c>
    </row>
    <row r="252" spans="1:16" x14ac:dyDescent="0.25">
      <c r="A252" t="s">
        <v>387</v>
      </c>
      <c r="B252" s="5">
        <v>45754</v>
      </c>
      <c r="C252" t="s">
        <v>325</v>
      </c>
      <c r="D252" t="s">
        <v>80</v>
      </c>
      <c r="E252" t="s">
        <v>77</v>
      </c>
      <c r="F252">
        <v>5</v>
      </c>
      <c r="G252" s="1">
        <v>375</v>
      </c>
      <c r="H252" s="1">
        <v>190</v>
      </c>
      <c r="I252" s="5">
        <v>45755</v>
      </c>
      <c r="J252" t="s">
        <v>30</v>
      </c>
      <c r="K252" t="s">
        <v>35</v>
      </c>
      <c r="L252" t="s">
        <v>25</v>
      </c>
      <c r="M252" s="1">
        <f>(orders[[#This Row],[Revenue]]-orders[[#This Row],[Cost]])</f>
        <v>185</v>
      </c>
      <c r="N252" s="8">
        <f>IFERROR(orders[[#This Row],[profit]]/orders[[#This Row],[Revenue]],0)</f>
        <v>0.49333333333333335</v>
      </c>
      <c r="O252">
        <f>IF(orders[[#This Row],[Delivery Date]]="","",(orders[[#This Row],[Delivery Date]]-orders[[#This Row],[Date]]))</f>
        <v>1</v>
      </c>
      <c r="P252" t="str">
        <f>IF(orders[[#This Row],[delivery days]]="","Not Delivered",IF(orders[[#This Row],[delivery days]]&lt;=2,"Fast",IF(orders[[#This Row],[delivery days]]&lt;=5,"Normal","Delayed")))</f>
        <v>Fast</v>
      </c>
    </row>
    <row r="253" spans="1:16" x14ac:dyDescent="0.25">
      <c r="A253" t="s">
        <v>388</v>
      </c>
      <c r="B253" s="5">
        <v>45754</v>
      </c>
      <c r="C253" t="s">
        <v>99</v>
      </c>
      <c r="D253" t="s">
        <v>308</v>
      </c>
      <c r="E253" t="s">
        <v>22</v>
      </c>
      <c r="F253">
        <v>3</v>
      </c>
      <c r="G253" s="1">
        <v>243</v>
      </c>
      <c r="H253" s="1">
        <v>104.04</v>
      </c>
      <c r="I253" s="5">
        <v>45755</v>
      </c>
      <c r="J253" t="s">
        <v>30</v>
      </c>
      <c r="K253" t="s">
        <v>35</v>
      </c>
      <c r="L253" t="s">
        <v>25</v>
      </c>
      <c r="M253" s="1">
        <f>(orders[[#This Row],[Revenue]]-orders[[#This Row],[Cost]])</f>
        <v>138.95999999999998</v>
      </c>
      <c r="N253" s="8">
        <f>IFERROR(orders[[#This Row],[profit]]/orders[[#This Row],[Revenue]],0)</f>
        <v>0.57185185185185172</v>
      </c>
      <c r="O253">
        <f>IF(orders[[#This Row],[Delivery Date]]="","",(orders[[#This Row],[Delivery Date]]-orders[[#This Row],[Date]]))</f>
        <v>1</v>
      </c>
      <c r="P253" t="str">
        <f>IF(orders[[#This Row],[delivery days]]="","Not Delivered",IF(orders[[#This Row],[delivery days]]&lt;=2,"Fast",IF(orders[[#This Row],[delivery days]]&lt;=5,"Normal","Delayed")))</f>
        <v>Fast</v>
      </c>
    </row>
    <row r="254" spans="1:16" x14ac:dyDescent="0.25">
      <c r="A254" t="s">
        <v>389</v>
      </c>
      <c r="B254" s="5">
        <v>45754</v>
      </c>
      <c r="C254" t="s">
        <v>112</v>
      </c>
      <c r="D254" t="s">
        <v>86</v>
      </c>
      <c r="E254" t="s">
        <v>29</v>
      </c>
      <c r="F254">
        <v>4</v>
      </c>
      <c r="G254" s="1">
        <v>116</v>
      </c>
      <c r="H254" s="1">
        <v>48</v>
      </c>
      <c r="I254" s="5">
        <v>45755</v>
      </c>
      <c r="J254" t="s">
        <v>23</v>
      </c>
      <c r="K254" t="s">
        <v>17</v>
      </c>
      <c r="L254" t="s">
        <v>25</v>
      </c>
      <c r="M254" s="1">
        <f>(orders[[#This Row],[Revenue]]-orders[[#This Row],[Cost]])</f>
        <v>68</v>
      </c>
      <c r="N254" s="8">
        <f>IFERROR(orders[[#This Row],[profit]]/orders[[#This Row],[Revenue]],0)</f>
        <v>0.58620689655172409</v>
      </c>
      <c r="O254">
        <f>IF(orders[[#This Row],[Delivery Date]]="","",(orders[[#This Row],[Delivery Date]]-orders[[#This Row],[Date]]))</f>
        <v>1</v>
      </c>
      <c r="P254" t="str">
        <f>IF(orders[[#This Row],[delivery days]]="","Not Delivered",IF(orders[[#This Row],[delivery days]]&lt;=2,"Fast",IF(orders[[#This Row],[delivery days]]&lt;=5,"Normal","Delayed")))</f>
        <v>Fast</v>
      </c>
    </row>
    <row r="255" spans="1:16" x14ac:dyDescent="0.25">
      <c r="A255" t="s">
        <v>390</v>
      </c>
      <c r="B255" s="5">
        <v>45754</v>
      </c>
      <c r="C255" t="s">
        <v>69</v>
      </c>
      <c r="D255" t="s">
        <v>65</v>
      </c>
      <c r="E255" t="s">
        <v>62</v>
      </c>
      <c r="F255">
        <v>2</v>
      </c>
      <c r="G255" s="1">
        <v>88.32</v>
      </c>
      <c r="H255" s="1">
        <v>42</v>
      </c>
      <c r="I255" s="5">
        <v>45757</v>
      </c>
      <c r="J255" t="s">
        <v>16</v>
      </c>
      <c r="K255" t="s">
        <v>17</v>
      </c>
      <c r="L255" t="s">
        <v>25</v>
      </c>
      <c r="M255" s="1">
        <f>(orders[[#This Row],[Revenue]]-orders[[#This Row],[Cost]])</f>
        <v>46.319999999999993</v>
      </c>
      <c r="N255" s="8">
        <f>IFERROR(orders[[#This Row],[profit]]/orders[[#This Row],[Revenue]],0)</f>
        <v>0.52445652173913038</v>
      </c>
      <c r="O255">
        <f>IF(orders[[#This Row],[Delivery Date]]="","",(orders[[#This Row],[Delivery Date]]-orders[[#This Row],[Date]]))</f>
        <v>3</v>
      </c>
      <c r="P255" t="str">
        <f>IF(orders[[#This Row],[delivery days]]="","Not Delivered",IF(orders[[#This Row],[delivery days]]&lt;=2,"Fast",IF(orders[[#This Row],[delivery days]]&lt;=5,"Normal","Delayed")))</f>
        <v>Normal</v>
      </c>
    </row>
    <row r="256" spans="1:16" x14ac:dyDescent="0.25">
      <c r="A256" t="s">
        <v>391</v>
      </c>
      <c r="B256" s="5">
        <v>45754</v>
      </c>
      <c r="C256" t="s">
        <v>142</v>
      </c>
      <c r="D256" t="s">
        <v>153</v>
      </c>
      <c r="E256" t="s">
        <v>34</v>
      </c>
      <c r="F256">
        <v>1</v>
      </c>
      <c r="G256" s="1">
        <v>68</v>
      </c>
      <c r="H256" s="1">
        <v>32.64</v>
      </c>
      <c r="I256" s="5">
        <v>45757</v>
      </c>
      <c r="J256" t="s">
        <v>101</v>
      </c>
      <c r="K256" t="s">
        <v>35</v>
      </c>
      <c r="L256" t="s">
        <v>25</v>
      </c>
      <c r="M256" s="1">
        <f>(orders[[#This Row],[Revenue]]-orders[[#This Row],[Cost]])</f>
        <v>35.36</v>
      </c>
      <c r="N256" s="8">
        <f>IFERROR(orders[[#This Row],[profit]]/orders[[#This Row],[Revenue]],0)</f>
        <v>0.52</v>
      </c>
      <c r="O256">
        <f>IF(orders[[#This Row],[Delivery Date]]="","",(orders[[#This Row],[Delivery Date]]-orders[[#This Row],[Date]]))</f>
        <v>3</v>
      </c>
      <c r="P256" t="str">
        <f>IF(orders[[#This Row],[delivery days]]="","Not Delivered",IF(orders[[#This Row],[delivery days]]&lt;=2,"Fast",IF(orders[[#This Row],[delivery days]]&lt;=5,"Normal","Delayed")))</f>
        <v>Normal</v>
      </c>
    </row>
    <row r="257" spans="1:16" x14ac:dyDescent="0.25">
      <c r="A257" t="s">
        <v>392</v>
      </c>
      <c r="B257" s="5">
        <v>45755</v>
      </c>
      <c r="C257" t="s">
        <v>57</v>
      </c>
      <c r="D257" t="s">
        <v>58</v>
      </c>
      <c r="E257" t="s">
        <v>39</v>
      </c>
      <c r="F257">
        <v>3</v>
      </c>
      <c r="G257" s="1">
        <v>3637.5</v>
      </c>
      <c r="H257" s="1">
        <v>2700</v>
      </c>
      <c r="I257" s="5">
        <v>45759</v>
      </c>
      <c r="J257" t="s">
        <v>101</v>
      </c>
      <c r="K257" t="s">
        <v>35</v>
      </c>
      <c r="L257" t="s">
        <v>25</v>
      </c>
      <c r="M257" s="1">
        <f>(orders[[#This Row],[Revenue]]-orders[[#This Row],[Cost]])</f>
        <v>937.5</v>
      </c>
      <c r="N257" s="8">
        <f>IFERROR(orders[[#This Row],[profit]]/orders[[#This Row],[Revenue]],0)</f>
        <v>0.25773195876288657</v>
      </c>
      <c r="O257">
        <f>IF(orders[[#This Row],[Delivery Date]]="","",(orders[[#This Row],[Delivery Date]]-orders[[#This Row],[Date]]))</f>
        <v>4</v>
      </c>
      <c r="P257" t="str">
        <f>IF(orders[[#This Row],[delivery days]]="","Not Delivered",IF(orders[[#This Row],[delivery days]]&lt;=2,"Fast",IF(orders[[#This Row],[delivery days]]&lt;=5,"Normal","Delayed")))</f>
        <v>Normal</v>
      </c>
    </row>
    <row r="258" spans="1:16" x14ac:dyDescent="0.25">
      <c r="A258" t="s">
        <v>393</v>
      </c>
      <c r="B258" s="5">
        <v>45756</v>
      </c>
      <c r="C258" t="s">
        <v>32</v>
      </c>
      <c r="D258" t="s">
        <v>300</v>
      </c>
      <c r="E258" t="s">
        <v>77</v>
      </c>
      <c r="F258">
        <v>2</v>
      </c>
      <c r="G258" s="1">
        <v>780</v>
      </c>
      <c r="H258" s="1">
        <v>490</v>
      </c>
      <c r="I258" s="5">
        <v>45758</v>
      </c>
      <c r="J258" t="s">
        <v>101</v>
      </c>
      <c r="K258" t="s">
        <v>47</v>
      </c>
      <c r="L258" t="s">
        <v>25</v>
      </c>
      <c r="M258" s="1">
        <f>(orders[[#This Row],[Revenue]]-orders[[#This Row],[Cost]])</f>
        <v>290</v>
      </c>
      <c r="N258" s="8">
        <f>IFERROR(orders[[#This Row],[profit]]/orders[[#This Row],[Revenue]],0)</f>
        <v>0.37179487179487181</v>
      </c>
      <c r="O258">
        <f>IF(orders[[#This Row],[Delivery Date]]="","",(orders[[#This Row],[Delivery Date]]-orders[[#This Row],[Date]]))</f>
        <v>2</v>
      </c>
      <c r="P258" t="str">
        <f>IF(orders[[#This Row],[delivery days]]="","Not Delivered",IF(orders[[#This Row],[delivery days]]&lt;=2,"Fast",IF(orders[[#This Row],[delivery days]]&lt;=5,"Normal","Delayed")))</f>
        <v>Fast</v>
      </c>
    </row>
    <row r="259" spans="1:16" x14ac:dyDescent="0.25">
      <c r="A259" t="s">
        <v>394</v>
      </c>
      <c r="B259" s="5">
        <v>45756</v>
      </c>
      <c r="C259" t="s">
        <v>200</v>
      </c>
      <c r="D259" t="s">
        <v>33</v>
      </c>
      <c r="E259" t="s">
        <v>34</v>
      </c>
      <c r="F259">
        <v>5</v>
      </c>
      <c r="G259" s="1">
        <v>313.2</v>
      </c>
      <c r="H259" s="1">
        <v>122.5</v>
      </c>
      <c r="I259" s="5">
        <v>45759</v>
      </c>
      <c r="J259" t="s">
        <v>16</v>
      </c>
      <c r="K259" t="s">
        <v>35</v>
      </c>
      <c r="L259" t="s">
        <v>25</v>
      </c>
      <c r="M259" s="1">
        <f>(orders[[#This Row],[Revenue]]-orders[[#This Row],[Cost]])</f>
        <v>190.7</v>
      </c>
      <c r="N259" s="8">
        <f>IFERROR(orders[[#This Row],[profit]]/orders[[#This Row],[Revenue]],0)</f>
        <v>0.60887611749680715</v>
      </c>
      <c r="O259">
        <f>IF(orders[[#This Row],[Delivery Date]]="","",(orders[[#This Row],[Delivery Date]]-orders[[#This Row],[Date]]))</f>
        <v>3</v>
      </c>
      <c r="P259" t="str">
        <f>IF(orders[[#This Row],[delivery days]]="","Not Delivered",IF(orders[[#This Row],[delivery days]]&lt;=2,"Fast",IF(orders[[#This Row],[delivery days]]&lt;=5,"Normal","Delayed")))</f>
        <v>Normal</v>
      </c>
    </row>
    <row r="260" spans="1:16" x14ac:dyDescent="0.25">
      <c r="A260" t="s">
        <v>395</v>
      </c>
      <c r="B260" s="5">
        <v>45756</v>
      </c>
      <c r="C260" t="s">
        <v>96</v>
      </c>
      <c r="D260" t="s">
        <v>14</v>
      </c>
      <c r="E260" t="s">
        <v>15</v>
      </c>
      <c r="F260">
        <v>1</v>
      </c>
      <c r="G260" s="1">
        <v>25.75</v>
      </c>
      <c r="H260" s="1">
        <v>8.82</v>
      </c>
      <c r="I260" s="5">
        <v>45757</v>
      </c>
      <c r="J260" t="s">
        <v>46</v>
      </c>
      <c r="K260" t="s">
        <v>47</v>
      </c>
      <c r="L260" t="s">
        <v>25</v>
      </c>
      <c r="M260" s="1">
        <f>(orders[[#This Row],[Revenue]]-orders[[#This Row],[Cost]])</f>
        <v>16.93</v>
      </c>
      <c r="N260" s="8">
        <f>IFERROR(orders[[#This Row],[profit]]/orders[[#This Row],[Revenue]],0)</f>
        <v>0.65747572815533983</v>
      </c>
      <c r="O260">
        <f>IF(orders[[#This Row],[Delivery Date]]="","",(orders[[#This Row],[Delivery Date]]-orders[[#This Row],[Date]]))</f>
        <v>1</v>
      </c>
      <c r="P260" t="str">
        <f>IF(orders[[#This Row],[delivery days]]="","Not Delivered",IF(orders[[#This Row],[delivery days]]&lt;=2,"Fast",IF(orders[[#This Row],[delivery days]]&lt;=5,"Normal","Delayed")))</f>
        <v>Fast</v>
      </c>
    </row>
    <row r="261" spans="1:16" x14ac:dyDescent="0.25">
      <c r="A261" t="s">
        <v>396</v>
      </c>
      <c r="B261" s="5">
        <v>45756</v>
      </c>
      <c r="C261" t="s">
        <v>181</v>
      </c>
      <c r="D261" t="s">
        <v>289</v>
      </c>
      <c r="E261" t="s">
        <v>22</v>
      </c>
      <c r="F261">
        <v>4</v>
      </c>
      <c r="G261" s="1">
        <v>255.44</v>
      </c>
      <c r="H261" s="1">
        <v>118.32</v>
      </c>
      <c r="I261" s="5"/>
      <c r="J261" t="s">
        <v>46</v>
      </c>
      <c r="K261" t="s">
        <v>47</v>
      </c>
      <c r="L261" t="s">
        <v>42</v>
      </c>
      <c r="M261" s="1">
        <f>(orders[[#This Row],[Revenue]]-orders[[#This Row],[Cost]])</f>
        <v>137.12</v>
      </c>
      <c r="N261" s="8">
        <f>IFERROR(orders[[#This Row],[profit]]/orders[[#This Row],[Revenue]],0)</f>
        <v>0.5367992483557783</v>
      </c>
      <c r="O261" t="str">
        <f>IF(orders[[#This Row],[Delivery Date]]="","",(orders[[#This Row],[Delivery Date]]-orders[[#This Row],[Date]]))</f>
        <v/>
      </c>
      <c r="P261" t="str">
        <f>IF(orders[[#This Row],[delivery days]]="","Not Delivered",IF(orders[[#This Row],[delivery days]]&lt;=2,"Fast",IF(orders[[#This Row],[delivery days]]&lt;=5,"Normal","Delayed")))</f>
        <v>Not Delivered</v>
      </c>
    </row>
    <row r="262" spans="1:16" x14ac:dyDescent="0.25">
      <c r="A262" t="s">
        <v>397</v>
      </c>
      <c r="B262" s="5">
        <v>45756</v>
      </c>
      <c r="C262" t="s">
        <v>282</v>
      </c>
      <c r="D262" t="s">
        <v>208</v>
      </c>
      <c r="E262" t="s">
        <v>15</v>
      </c>
      <c r="F262">
        <v>2</v>
      </c>
      <c r="G262" s="1">
        <v>280.8</v>
      </c>
      <c r="H262" s="1">
        <v>152</v>
      </c>
      <c r="I262" s="5">
        <v>45759</v>
      </c>
      <c r="J262" t="s">
        <v>46</v>
      </c>
      <c r="K262" t="s">
        <v>47</v>
      </c>
      <c r="L262" t="s">
        <v>25</v>
      </c>
      <c r="M262" s="1">
        <f>(orders[[#This Row],[Revenue]]-orders[[#This Row],[Cost]])</f>
        <v>128.80000000000001</v>
      </c>
      <c r="N262" s="8">
        <f>IFERROR(orders[[#This Row],[profit]]/orders[[#This Row],[Revenue]],0)</f>
        <v>0.45868945868945871</v>
      </c>
      <c r="O262">
        <f>IF(orders[[#This Row],[Delivery Date]]="","",(orders[[#This Row],[Delivery Date]]-orders[[#This Row],[Date]]))</f>
        <v>3</v>
      </c>
      <c r="P262" t="str">
        <f>IF(orders[[#This Row],[delivery days]]="","Not Delivered",IF(orders[[#This Row],[delivery days]]&lt;=2,"Fast",IF(orders[[#This Row],[delivery days]]&lt;=5,"Normal","Delayed")))</f>
        <v>Normal</v>
      </c>
    </row>
    <row r="263" spans="1:16" x14ac:dyDescent="0.25">
      <c r="A263" t="s">
        <v>398</v>
      </c>
      <c r="B263" s="5">
        <v>45757</v>
      </c>
      <c r="C263" t="s">
        <v>94</v>
      </c>
      <c r="D263" t="s">
        <v>28</v>
      </c>
      <c r="E263" t="s">
        <v>29</v>
      </c>
      <c r="F263">
        <v>1</v>
      </c>
      <c r="G263" s="1">
        <v>24</v>
      </c>
      <c r="H263" s="1">
        <v>9.18</v>
      </c>
      <c r="I263" s="5">
        <v>45759</v>
      </c>
      <c r="J263" t="s">
        <v>30</v>
      </c>
      <c r="K263" t="s">
        <v>35</v>
      </c>
      <c r="L263" t="s">
        <v>25</v>
      </c>
      <c r="M263" s="1">
        <f>(orders[[#This Row],[Revenue]]-orders[[#This Row],[Cost]])</f>
        <v>14.82</v>
      </c>
      <c r="N263" s="8">
        <f>IFERROR(orders[[#This Row],[profit]]/orders[[#This Row],[Revenue]],0)</f>
        <v>0.61750000000000005</v>
      </c>
      <c r="O263">
        <f>IF(orders[[#This Row],[Delivery Date]]="","",(orders[[#This Row],[Delivery Date]]-orders[[#This Row],[Date]]))</f>
        <v>2</v>
      </c>
      <c r="P263" t="str">
        <f>IF(orders[[#This Row],[delivery days]]="","Not Delivered",IF(orders[[#This Row],[delivery days]]&lt;=2,"Fast",IF(orders[[#This Row],[delivery days]]&lt;=5,"Normal","Delayed")))</f>
        <v>Fast</v>
      </c>
    </row>
    <row r="264" spans="1:16" x14ac:dyDescent="0.25">
      <c r="A264" t="s">
        <v>399</v>
      </c>
      <c r="B264" s="5">
        <v>45757</v>
      </c>
      <c r="C264" t="s">
        <v>41</v>
      </c>
      <c r="D264" t="s">
        <v>177</v>
      </c>
      <c r="E264" t="s">
        <v>34</v>
      </c>
      <c r="F264">
        <v>3</v>
      </c>
      <c r="G264" s="1">
        <v>435</v>
      </c>
      <c r="H264" s="1">
        <v>234</v>
      </c>
      <c r="I264" s="5">
        <v>45760</v>
      </c>
      <c r="J264" t="s">
        <v>16</v>
      </c>
      <c r="K264" t="s">
        <v>35</v>
      </c>
      <c r="L264" t="s">
        <v>25</v>
      </c>
      <c r="M264" s="1">
        <f>(orders[[#This Row],[Revenue]]-orders[[#This Row],[Cost]])</f>
        <v>201</v>
      </c>
      <c r="N264" s="8">
        <f>IFERROR(orders[[#This Row],[profit]]/orders[[#This Row],[Revenue]],0)</f>
        <v>0.46206896551724136</v>
      </c>
      <c r="O264">
        <f>IF(orders[[#This Row],[Delivery Date]]="","",(orders[[#This Row],[Delivery Date]]-orders[[#This Row],[Date]]))</f>
        <v>3</v>
      </c>
      <c r="P264" t="str">
        <f>IF(orders[[#This Row],[delivery days]]="","Not Delivered",IF(orders[[#This Row],[delivery days]]&lt;=2,"Fast",IF(orders[[#This Row],[delivery days]]&lt;=5,"Normal","Delayed")))</f>
        <v>Normal</v>
      </c>
    </row>
    <row r="265" spans="1:16" x14ac:dyDescent="0.25">
      <c r="A265" t="s">
        <v>400</v>
      </c>
      <c r="B265" s="5">
        <v>45757</v>
      </c>
      <c r="C265" t="s">
        <v>37</v>
      </c>
      <c r="D265" t="s">
        <v>153</v>
      </c>
      <c r="E265" t="s">
        <v>34</v>
      </c>
      <c r="F265">
        <v>2</v>
      </c>
      <c r="G265" s="1">
        <v>136</v>
      </c>
      <c r="H265" s="1">
        <v>64</v>
      </c>
      <c r="I265" s="5">
        <v>45760</v>
      </c>
      <c r="J265" t="s">
        <v>101</v>
      </c>
      <c r="K265" t="s">
        <v>47</v>
      </c>
      <c r="L265" t="s">
        <v>25</v>
      </c>
      <c r="M265" s="1">
        <f>(orders[[#This Row],[Revenue]]-orders[[#This Row],[Cost]])</f>
        <v>72</v>
      </c>
      <c r="N265" s="8">
        <f>IFERROR(orders[[#This Row],[profit]]/orders[[#This Row],[Revenue]],0)</f>
        <v>0.52941176470588236</v>
      </c>
      <c r="O265">
        <f>IF(orders[[#This Row],[Delivery Date]]="","",(orders[[#This Row],[Delivery Date]]-orders[[#This Row],[Date]]))</f>
        <v>3</v>
      </c>
      <c r="P265" t="str">
        <f>IF(orders[[#This Row],[delivery days]]="","Not Delivered",IF(orders[[#This Row],[delivery days]]&lt;=2,"Fast",IF(orders[[#This Row],[delivery days]]&lt;=5,"Normal","Delayed")))</f>
        <v>Normal</v>
      </c>
    </row>
    <row r="266" spans="1:16" x14ac:dyDescent="0.25">
      <c r="A266" t="s">
        <v>401</v>
      </c>
      <c r="B266" s="5">
        <v>45758</v>
      </c>
      <c r="C266" t="s">
        <v>217</v>
      </c>
      <c r="D266" t="s">
        <v>80</v>
      </c>
      <c r="E266" t="s">
        <v>77</v>
      </c>
      <c r="F266">
        <v>2</v>
      </c>
      <c r="G266" s="1">
        <v>145.5</v>
      </c>
      <c r="H266" s="1">
        <v>74.48</v>
      </c>
      <c r="I266" s="5">
        <v>45762</v>
      </c>
      <c r="J266" t="s">
        <v>46</v>
      </c>
      <c r="K266" t="s">
        <v>24</v>
      </c>
      <c r="L266" t="s">
        <v>25</v>
      </c>
      <c r="M266" s="1">
        <f>(orders[[#This Row],[Revenue]]-orders[[#This Row],[Cost]])</f>
        <v>71.02</v>
      </c>
      <c r="N266" s="8">
        <f>IFERROR(orders[[#This Row],[profit]]/orders[[#This Row],[Revenue]],0)</f>
        <v>0.48810996563573883</v>
      </c>
      <c r="O266">
        <f>IF(orders[[#This Row],[Delivery Date]]="","",(orders[[#This Row],[Delivery Date]]-orders[[#This Row],[Date]]))</f>
        <v>4</v>
      </c>
      <c r="P266" t="str">
        <f>IF(orders[[#This Row],[delivery days]]="","Not Delivered",IF(orders[[#This Row],[delivery days]]&lt;=2,"Fast",IF(orders[[#This Row],[delivery days]]&lt;=5,"Normal","Delayed")))</f>
        <v>Normal</v>
      </c>
    </row>
    <row r="267" spans="1:16" x14ac:dyDescent="0.25">
      <c r="A267" t="s">
        <v>402</v>
      </c>
      <c r="B267" s="5">
        <v>45758</v>
      </c>
      <c r="C267" t="s">
        <v>139</v>
      </c>
      <c r="D267" t="s">
        <v>300</v>
      </c>
      <c r="E267" t="s">
        <v>77</v>
      </c>
      <c r="F267">
        <v>1</v>
      </c>
      <c r="G267" s="1">
        <v>401.7</v>
      </c>
      <c r="H267" s="1">
        <v>245</v>
      </c>
      <c r="I267" s="5">
        <v>45762</v>
      </c>
      <c r="J267" t="s">
        <v>30</v>
      </c>
      <c r="K267" t="s">
        <v>17</v>
      </c>
      <c r="L267" t="s">
        <v>25</v>
      </c>
      <c r="M267" s="1">
        <f>(orders[[#This Row],[Revenue]]-orders[[#This Row],[Cost]])</f>
        <v>156.69999999999999</v>
      </c>
      <c r="N267" s="8">
        <f>IFERROR(orders[[#This Row],[profit]]/orders[[#This Row],[Revenue]],0)</f>
        <v>0.39009210853871046</v>
      </c>
      <c r="O267">
        <f>IF(orders[[#This Row],[Delivery Date]]="","",(orders[[#This Row],[Delivery Date]]-orders[[#This Row],[Date]]))</f>
        <v>4</v>
      </c>
      <c r="P267" t="str">
        <f>IF(orders[[#This Row],[delivery days]]="","Not Delivered",IF(orders[[#This Row],[delivery days]]&lt;=2,"Fast",IF(orders[[#This Row],[delivery days]]&lt;=5,"Normal","Delayed")))</f>
        <v>Normal</v>
      </c>
    </row>
    <row r="268" spans="1:16" x14ac:dyDescent="0.25">
      <c r="A268" t="s">
        <v>403</v>
      </c>
      <c r="B268" s="5">
        <v>45758</v>
      </c>
      <c r="C268" t="s">
        <v>41</v>
      </c>
      <c r="D268" t="s">
        <v>58</v>
      </c>
      <c r="E268" t="s">
        <v>39</v>
      </c>
      <c r="F268">
        <v>3</v>
      </c>
      <c r="G268" s="1">
        <v>3862.5</v>
      </c>
      <c r="H268" s="1">
        <v>2754</v>
      </c>
      <c r="I268" s="5"/>
      <c r="J268" t="s">
        <v>30</v>
      </c>
      <c r="K268" t="s">
        <v>17</v>
      </c>
      <c r="L268" t="s">
        <v>103</v>
      </c>
      <c r="M268" s="1">
        <f>(orders[[#This Row],[Revenue]]-orders[[#This Row],[Cost]])</f>
        <v>1108.5</v>
      </c>
      <c r="N268" s="8">
        <f>IFERROR(orders[[#This Row],[profit]]/orders[[#This Row],[Revenue]],0)</f>
        <v>0.28699029126213593</v>
      </c>
      <c r="O268" t="str">
        <f>IF(orders[[#This Row],[Delivery Date]]="","",(orders[[#This Row],[Delivery Date]]-orders[[#This Row],[Date]]))</f>
        <v/>
      </c>
      <c r="P268" t="str">
        <f>IF(orders[[#This Row],[delivery days]]="","Not Delivered",IF(orders[[#This Row],[delivery days]]&lt;=2,"Fast",IF(orders[[#This Row],[delivery days]]&lt;=5,"Normal","Delayed")))</f>
        <v>Not Delivered</v>
      </c>
    </row>
    <row r="269" spans="1:16" x14ac:dyDescent="0.25">
      <c r="A269" t="s">
        <v>404</v>
      </c>
      <c r="B269" s="5">
        <v>45759</v>
      </c>
      <c r="C269" t="s">
        <v>174</v>
      </c>
      <c r="D269" t="s">
        <v>14</v>
      </c>
      <c r="E269" t="s">
        <v>15</v>
      </c>
      <c r="F269">
        <v>2</v>
      </c>
      <c r="G269" s="1">
        <v>50</v>
      </c>
      <c r="H269" s="1">
        <v>18.36</v>
      </c>
      <c r="I269" s="5"/>
      <c r="J269" t="s">
        <v>23</v>
      </c>
      <c r="K269" t="s">
        <v>17</v>
      </c>
      <c r="L269" t="s">
        <v>103</v>
      </c>
      <c r="M269" s="1">
        <f>(orders[[#This Row],[Revenue]]-orders[[#This Row],[Cost]])</f>
        <v>31.64</v>
      </c>
      <c r="N269" s="8">
        <f>IFERROR(orders[[#This Row],[profit]]/orders[[#This Row],[Revenue]],0)</f>
        <v>0.63280000000000003</v>
      </c>
      <c r="O269" t="str">
        <f>IF(orders[[#This Row],[Delivery Date]]="","",(orders[[#This Row],[Delivery Date]]-orders[[#This Row],[Date]]))</f>
        <v/>
      </c>
      <c r="P269" t="str">
        <f>IF(orders[[#This Row],[delivery days]]="","Not Delivered",IF(orders[[#This Row],[delivery days]]&lt;=2,"Fast",IF(orders[[#This Row],[delivery days]]&lt;=5,"Normal","Delayed")))</f>
        <v>Not Delivered</v>
      </c>
    </row>
    <row r="270" spans="1:16" x14ac:dyDescent="0.25">
      <c r="A270" t="s">
        <v>405</v>
      </c>
      <c r="B270" s="5">
        <v>45759</v>
      </c>
      <c r="C270" t="s">
        <v>217</v>
      </c>
      <c r="D270" t="s">
        <v>146</v>
      </c>
      <c r="E270" t="s">
        <v>22</v>
      </c>
      <c r="F270">
        <v>3</v>
      </c>
      <c r="G270" s="1">
        <v>264</v>
      </c>
      <c r="H270" s="1">
        <v>132.30000000000001</v>
      </c>
      <c r="I270" s="5">
        <v>45763</v>
      </c>
      <c r="J270" t="s">
        <v>46</v>
      </c>
      <c r="K270" t="s">
        <v>24</v>
      </c>
      <c r="L270" t="s">
        <v>25</v>
      </c>
      <c r="M270" s="1">
        <f>(orders[[#This Row],[Revenue]]-orders[[#This Row],[Cost]])</f>
        <v>131.69999999999999</v>
      </c>
      <c r="N270" s="8">
        <f>IFERROR(orders[[#This Row],[profit]]/orders[[#This Row],[Revenue]],0)</f>
        <v>0.49886363636363634</v>
      </c>
      <c r="O270">
        <f>IF(orders[[#This Row],[Delivery Date]]="","",(orders[[#This Row],[Delivery Date]]-orders[[#This Row],[Date]]))</f>
        <v>4</v>
      </c>
      <c r="P270" t="str">
        <f>IF(orders[[#This Row],[delivery days]]="","Not Delivered",IF(orders[[#This Row],[delivery days]]&lt;=2,"Fast",IF(orders[[#This Row],[delivery days]]&lt;=5,"Normal","Delayed")))</f>
        <v>Normal</v>
      </c>
    </row>
    <row r="271" spans="1:16" x14ac:dyDescent="0.25">
      <c r="A271" t="s">
        <v>406</v>
      </c>
      <c r="B271" s="5">
        <v>45759</v>
      </c>
      <c r="C271" t="s">
        <v>195</v>
      </c>
      <c r="D271" t="s">
        <v>45</v>
      </c>
      <c r="E271" t="s">
        <v>34</v>
      </c>
      <c r="F271">
        <v>1</v>
      </c>
      <c r="G271" s="1">
        <v>77.760000000000005</v>
      </c>
      <c r="H271" s="1">
        <v>30.38</v>
      </c>
      <c r="I271" s="5">
        <v>45763</v>
      </c>
      <c r="J271" t="s">
        <v>23</v>
      </c>
      <c r="K271" t="s">
        <v>24</v>
      </c>
      <c r="L271" t="s">
        <v>25</v>
      </c>
      <c r="M271" s="1">
        <f>(orders[[#This Row],[Revenue]]-orders[[#This Row],[Cost]])</f>
        <v>47.38000000000001</v>
      </c>
      <c r="N271" s="8">
        <f>IFERROR(orders[[#This Row],[profit]]/orders[[#This Row],[Revenue]],0)</f>
        <v>0.6093106995884775</v>
      </c>
      <c r="O271">
        <f>IF(orders[[#This Row],[Delivery Date]]="","",(orders[[#This Row],[Delivery Date]]-orders[[#This Row],[Date]]))</f>
        <v>4</v>
      </c>
      <c r="P271" t="str">
        <f>IF(orders[[#This Row],[delivery days]]="","Not Delivered",IF(orders[[#This Row],[delivery days]]&lt;=2,"Fast",IF(orders[[#This Row],[delivery days]]&lt;=5,"Normal","Delayed")))</f>
        <v>Normal</v>
      </c>
    </row>
    <row r="272" spans="1:16" x14ac:dyDescent="0.25">
      <c r="A272" t="s">
        <v>407</v>
      </c>
      <c r="B272" s="5">
        <v>45760</v>
      </c>
      <c r="C272" t="s">
        <v>79</v>
      </c>
      <c r="D272" t="s">
        <v>33</v>
      </c>
      <c r="E272" t="s">
        <v>34</v>
      </c>
      <c r="F272">
        <v>1</v>
      </c>
      <c r="G272" s="1">
        <v>58</v>
      </c>
      <c r="H272" s="1">
        <v>25.5</v>
      </c>
      <c r="I272" s="5">
        <v>45764</v>
      </c>
      <c r="J272" t="s">
        <v>101</v>
      </c>
      <c r="K272" t="s">
        <v>35</v>
      </c>
      <c r="L272" t="s">
        <v>25</v>
      </c>
      <c r="M272" s="1">
        <f>(orders[[#This Row],[Revenue]]-orders[[#This Row],[Cost]])</f>
        <v>32.5</v>
      </c>
      <c r="N272" s="8">
        <f>IFERROR(orders[[#This Row],[profit]]/orders[[#This Row],[Revenue]],0)</f>
        <v>0.56034482758620685</v>
      </c>
      <c r="O272">
        <f>IF(orders[[#This Row],[Delivery Date]]="","",(orders[[#This Row],[Delivery Date]]-orders[[#This Row],[Date]]))</f>
        <v>4</v>
      </c>
      <c r="P272" t="str">
        <f>IF(orders[[#This Row],[delivery days]]="","Not Delivered",IF(orders[[#This Row],[delivery days]]&lt;=2,"Fast",IF(orders[[#This Row],[delivery days]]&lt;=5,"Normal","Delayed")))</f>
        <v>Normal</v>
      </c>
    </row>
    <row r="273" spans="1:16" x14ac:dyDescent="0.25">
      <c r="A273" t="s">
        <v>408</v>
      </c>
      <c r="B273" s="5">
        <v>45760</v>
      </c>
      <c r="C273" t="s">
        <v>316</v>
      </c>
      <c r="D273" t="s">
        <v>119</v>
      </c>
      <c r="E273" t="s">
        <v>39</v>
      </c>
      <c r="F273">
        <v>1</v>
      </c>
      <c r="G273" s="1">
        <v>50.6</v>
      </c>
      <c r="H273" s="1">
        <v>28</v>
      </c>
      <c r="I273" s="5">
        <v>45766</v>
      </c>
      <c r="J273" t="s">
        <v>52</v>
      </c>
      <c r="K273" t="s">
        <v>24</v>
      </c>
      <c r="L273" t="s">
        <v>25</v>
      </c>
      <c r="M273" s="1">
        <f>(orders[[#This Row],[Revenue]]-orders[[#This Row],[Cost]])</f>
        <v>22.6</v>
      </c>
      <c r="N273" s="8">
        <f>IFERROR(orders[[#This Row],[profit]]/orders[[#This Row],[Revenue]],0)</f>
        <v>0.44664031620553363</v>
      </c>
      <c r="O273">
        <f>IF(orders[[#This Row],[Delivery Date]]="","",(orders[[#This Row],[Delivery Date]]-orders[[#This Row],[Date]]))</f>
        <v>6</v>
      </c>
      <c r="P273" t="str">
        <f>IF(orders[[#This Row],[delivery days]]="","Not Delivered",IF(orders[[#This Row],[delivery days]]&lt;=2,"Fast",IF(orders[[#This Row],[delivery days]]&lt;=5,"Normal","Delayed")))</f>
        <v>Delayed</v>
      </c>
    </row>
    <row r="274" spans="1:16" x14ac:dyDescent="0.25">
      <c r="A274" t="s">
        <v>409</v>
      </c>
      <c r="B274" s="5">
        <v>45760</v>
      </c>
      <c r="C274" t="s">
        <v>90</v>
      </c>
      <c r="D274" t="s">
        <v>76</v>
      </c>
      <c r="E274" t="s">
        <v>77</v>
      </c>
      <c r="F274">
        <v>3</v>
      </c>
      <c r="G274" s="1">
        <v>780</v>
      </c>
      <c r="H274" s="1">
        <v>495</v>
      </c>
      <c r="I274" s="5">
        <v>45761</v>
      </c>
      <c r="J274" t="s">
        <v>46</v>
      </c>
      <c r="K274" t="s">
        <v>47</v>
      </c>
      <c r="L274" t="s">
        <v>25</v>
      </c>
      <c r="M274" s="1">
        <f>(orders[[#This Row],[Revenue]]-orders[[#This Row],[Cost]])</f>
        <v>285</v>
      </c>
      <c r="N274" s="8">
        <f>IFERROR(orders[[#This Row],[profit]]/orders[[#This Row],[Revenue]],0)</f>
        <v>0.36538461538461536</v>
      </c>
      <c r="O274">
        <f>IF(orders[[#This Row],[Delivery Date]]="","",(orders[[#This Row],[Delivery Date]]-orders[[#This Row],[Date]]))</f>
        <v>1</v>
      </c>
      <c r="P274" t="str">
        <f>IF(orders[[#This Row],[delivery days]]="","Not Delivered",IF(orders[[#This Row],[delivery days]]&lt;=2,"Fast",IF(orders[[#This Row],[delivery days]]&lt;=5,"Normal","Delayed")))</f>
        <v>Fast</v>
      </c>
    </row>
    <row r="275" spans="1:16" x14ac:dyDescent="0.25">
      <c r="A275" t="s">
        <v>410</v>
      </c>
      <c r="B275" s="5">
        <v>45761</v>
      </c>
      <c r="C275" t="s">
        <v>181</v>
      </c>
      <c r="D275" t="s">
        <v>108</v>
      </c>
      <c r="E275" t="s">
        <v>22</v>
      </c>
      <c r="F275">
        <v>4</v>
      </c>
      <c r="G275" s="1">
        <v>368.6</v>
      </c>
      <c r="H275" s="1">
        <v>164.64</v>
      </c>
      <c r="I275" s="5"/>
      <c r="J275" t="s">
        <v>46</v>
      </c>
      <c r="K275" t="s">
        <v>47</v>
      </c>
      <c r="L275" t="s">
        <v>42</v>
      </c>
      <c r="M275" s="1">
        <f>(orders[[#This Row],[Revenue]]-orders[[#This Row],[Cost]])</f>
        <v>203.96000000000004</v>
      </c>
      <c r="N275" s="8">
        <f>IFERROR(orders[[#This Row],[profit]]/orders[[#This Row],[Revenue]],0)</f>
        <v>0.55333695062398269</v>
      </c>
      <c r="O275" t="str">
        <f>IF(orders[[#This Row],[Delivery Date]]="","",(orders[[#This Row],[Delivery Date]]-orders[[#This Row],[Date]]))</f>
        <v/>
      </c>
      <c r="P275" t="str">
        <f>IF(orders[[#This Row],[delivery days]]="","Not Delivered",IF(orders[[#This Row],[delivery days]]&lt;=2,"Fast",IF(orders[[#This Row],[delivery days]]&lt;=5,"Normal","Delayed")))</f>
        <v>Not Delivered</v>
      </c>
    </row>
    <row r="276" spans="1:16" x14ac:dyDescent="0.25">
      <c r="A276" t="s">
        <v>411</v>
      </c>
      <c r="B276" s="5">
        <v>45761</v>
      </c>
      <c r="C276" t="s">
        <v>282</v>
      </c>
      <c r="D276" t="s">
        <v>127</v>
      </c>
      <c r="E276" t="s">
        <v>29</v>
      </c>
      <c r="F276">
        <v>2</v>
      </c>
      <c r="G276" s="1">
        <v>33.119999999999997</v>
      </c>
      <c r="H276" s="1">
        <v>12</v>
      </c>
      <c r="I276" s="5">
        <v>45765</v>
      </c>
      <c r="J276" t="s">
        <v>101</v>
      </c>
      <c r="K276" t="s">
        <v>47</v>
      </c>
      <c r="L276" t="s">
        <v>25</v>
      </c>
      <c r="M276" s="1">
        <f>(orders[[#This Row],[Revenue]]-orders[[#This Row],[Cost]])</f>
        <v>21.119999999999997</v>
      </c>
      <c r="N276" s="8">
        <f>IFERROR(orders[[#This Row],[profit]]/orders[[#This Row],[Revenue]],0)</f>
        <v>0.6376811594202898</v>
      </c>
      <c r="O276">
        <f>IF(orders[[#This Row],[Delivery Date]]="","",(orders[[#This Row],[Delivery Date]]-orders[[#This Row],[Date]]))</f>
        <v>4</v>
      </c>
      <c r="P276" t="str">
        <f>IF(orders[[#This Row],[delivery days]]="","Not Delivered",IF(orders[[#This Row],[delivery days]]&lt;=2,"Fast",IF(orders[[#This Row],[delivery days]]&lt;=5,"Normal","Delayed")))</f>
        <v>Normal</v>
      </c>
    </row>
    <row r="277" spans="1:16" x14ac:dyDescent="0.25">
      <c r="A277" t="s">
        <v>412</v>
      </c>
      <c r="B277" s="5">
        <v>45762</v>
      </c>
      <c r="C277" t="s">
        <v>94</v>
      </c>
      <c r="D277" t="s">
        <v>51</v>
      </c>
      <c r="E277" t="s">
        <v>34</v>
      </c>
      <c r="F277">
        <v>2</v>
      </c>
      <c r="G277" s="1">
        <v>175.1</v>
      </c>
      <c r="H277" s="1">
        <v>84</v>
      </c>
      <c r="I277" s="5"/>
      <c r="J277" t="s">
        <v>30</v>
      </c>
      <c r="K277" t="s">
        <v>17</v>
      </c>
      <c r="L277" t="s">
        <v>103</v>
      </c>
      <c r="M277" s="1">
        <f>(orders[[#This Row],[Revenue]]-orders[[#This Row],[Cost]])</f>
        <v>91.1</v>
      </c>
      <c r="N277" s="8">
        <f>IFERROR(orders[[#This Row],[profit]]/orders[[#This Row],[Revenue]],0)</f>
        <v>0.52027412906910331</v>
      </c>
      <c r="O277" t="str">
        <f>IF(orders[[#This Row],[Delivery Date]]="","",(orders[[#This Row],[Delivery Date]]-orders[[#This Row],[Date]]))</f>
        <v/>
      </c>
      <c r="P277" t="str">
        <f>IF(orders[[#This Row],[delivery days]]="","Not Delivered",IF(orders[[#This Row],[delivery days]]&lt;=2,"Fast",IF(orders[[#This Row],[delivery days]]&lt;=5,"Normal","Delayed")))</f>
        <v>Not Delivered</v>
      </c>
    </row>
    <row r="278" spans="1:16" x14ac:dyDescent="0.25">
      <c r="A278" t="s">
        <v>413</v>
      </c>
      <c r="B278" s="5">
        <v>45762</v>
      </c>
      <c r="C278" t="s">
        <v>92</v>
      </c>
      <c r="D278" t="s">
        <v>224</v>
      </c>
      <c r="E278" t="s">
        <v>77</v>
      </c>
      <c r="F278">
        <v>1</v>
      </c>
      <c r="G278" s="1">
        <v>128.75</v>
      </c>
      <c r="H278" s="1">
        <v>65.66</v>
      </c>
      <c r="I278" s="5">
        <v>45766</v>
      </c>
      <c r="J278" t="s">
        <v>101</v>
      </c>
      <c r="K278" t="s">
        <v>35</v>
      </c>
      <c r="L278" t="s">
        <v>25</v>
      </c>
      <c r="M278" s="1">
        <f>(orders[[#This Row],[Revenue]]-orders[[#This Row],[Cost]])</f>
        <v>63.09</v>
      </c>
      <c r="N278" s="8">
        <f>IFERROR(orders[[#This Row],[profit]]/orders[[#This Row],[Revenue]],0)</f>
        <v>0.49001941747572819</v>
      </c>
      <c r="O278">
        <f>IF(orders[[#This Row],[Delivery Date]]="","",(orders[[#This Row],[Delivery Date]]-orders[[#This Row],[Date]]))</f>
        <v>4</v>
      </c>
      <c r="P278" t="str">
        <f>IF(orders[[#This Row],[delivery days]]="","Not Delivered",IF(orders[[#This Row],[delivery days]]&lt;=2,"Fast",IF(orders[[#This Row],[delivery days]]&lt;=5,"Normal","Delayed")))</f>
        <v>Normal</v>
      </c>
    </row>
    <row r="279" spans="1:16" x14ac:dyDescent="0.25">
      <c r="A279" t="s">
        <v>414</v>
      </c>
      <c r="B279" s="5">
        <v>45762</v>
      </c>
      <c r="C279" t="s">
        <v>171</v>
      </c>
      <c r="D279" t="s">
        <v>61</v>
      </c>
      <c r="E279" t="s">
        <v>62</v>
      </c>
      <c r="F279">
        <v>1</v>
      </c>
      <c r="G279" s="1">
        <v>34.56</v>
      </c>
      <c r="H279" s="1">
        <v>13.72</v>
      </c>
      <c r="I279" s="5">
        <v>45766</v>
      </c>
      <c r="J279" t="s">
        <v>46</v>
      </c>
      <c r="K279" t="s">
        <v>24</v>
      </c>
      <c r="L279" t="s">
        <v>25</v>
      </c>
      <c r="M279" s="1">
        <f>(orders[[#This Row],[Revenue]]-orders[[#This Row],[Cost]])</f>
        <v>20.840000000000003</v>
      </c>
      <c r="N279" s="8">
        <f>IFERROR(orders[[#This Row],[profit]]/orders[[#This Row],[Revenue]],0)</f>
        <v>0.6030092592592593</v>
      </c>
      <c r="O279">
        <f>IF(orders[[#This Row],[Delivery Date]]="","",(orders[[#This Row],[Delivery Date]]-orders[[#This Row],[Date]]))</f>
        <v>4</v>
      </c>
      <c r="P279" t="str">
        <f>IF(orders[[#This Row],[delivery days]]="","Not Delivered",IF(orders[[#This Row],[delivery days]]&lt;=2,"Fast",IF(orders[[#This Row],[delivery days]]&lt;=5,"Normal","Delayed")))</f>
        <v>Normal</v>
      </c>
    </row>
    <row r="280" spans="1:16" x14ac:dyDescent="0.25">
      <c r="A280" t="s">
        <v>415</v>
      </c>
      <c r="B280" s="5">
        <v>45762</v>
      </c>
      <c r="C280" t="s">
        <v>269</v>
      </c>
      <c r="D280" t="s">
        <v>215</v>
      </c>
      <c r="E280" t="s">
        <v>62</v>
      </c>
      <c r="F280">
        <v>2</v>
      </c>
      <c r="G280" s="1">
        <v>404.8</v>
      </c>
      <c r="H280" s="1">
        <v>278.32</v>
      </c>
      <c r="I280" s="5">
        <v>45763</v>
      </c>
      <c r="J280" t="s">
        <v>16</v>
      </c>
      <c r="K280" t="s">
        <v>35</v>
      </c>
      <c r="L280" t="s">
        <v>25</v>
      </c>
      <c r="M280" s="1">
        <f>(orders[[#This Row],[Revenue]]-orders[[#This Row],[Cost]])</f>
        <v>126.48000000000002</v>
      </c>
      <c r="N280" s="8">
        <f>IFERROR(orders[[#This Row],[profit]]/orders[[#This Row],[Revenue]],0)</f>
        <v>0.31245059288537552</v>
      </c>
      <c r="O280">
        <f>IF(orders[[#This Row],[Delivery Date]]="","",(orders[[#This Row],[Delivery Date]]-orders[[#This Row],[Date]]))</f>
        <v>1</v>
      </c>
      <c r="P280" t="str">
        <f>IF(orders[[#This Row],[delivery days]]="","Not Delivered",IF(orders[[#This Row],[delivery days]]&lt;=2,"Fast",IF(orders[[#This Row],[delivery days]]&lt;=5,"Normal","Delayed")))</f>
        <v>Fast</v>
      </c>
    </row>
    <row r="281" spans="1:16" x14ac:dyDescent="0.25">
      <c r="A281" t="s">
        <v>416</v>
      </c>
      <c r="B281" s="5">
        <v>45763</v>
      </c>
      <c r="C281" t="s">
        <v>112</v>
      </c>
      <c r="D281" t="s">
        <v>86</v>
      </c>
      <c r="E281" t="s">
        <v>29</v>
      </c>
      <c r="F281">
        <v>2</v>
      </c>
      <c r="G281" s="1">
        <v>59.74</v>
      </c>
      <c r="H281" s="1">
        <v>24</v>
      </c>
      <c r="I281" s="5">
        <v>45768</v>
      </c>
      <c r="J281" t="s">
        <v>16</v>
      </c>
      <c r="K281" t="s">
        <v>17</v>
      </c>
      <c r="L281" t="s">
        <v>25</v>
      </c>
      <c r="M281" s="1">
        <f>(orders[[#This Row],[Revenue]]-orders[[#This Row],[Cost]])</f>
        <v>35.74</v>
      </c>
      <c r="N281" s="8">
        <f>IFERROR(orders[[#This Row],[profit]]/orders[[#This Row],[Revenue]],0)</f>
        <v>0.59825912286575156</v>
      </c>
      <c r="O281">
        <f>IF(orders[[#This Row],[Delivery Date]]="","",(orders[[#This Row],[Delivery Date]]-orders[[#This Row],[Date]]))</f>
        <v>5</v>
      </c>
      <c r="P281" t="str">
        <f>IF(orders[[#This Row],[delivery days]]="","Not Delivered",IF(orders[[#This Row],[delivery days]]&lt;=2,"Fast",IF(orders[[#This Row],[delivery days]]&lt;=5,"Normal","Delayed")))</f>
        <v>Normal</v>
      </c>
    </row>
    <row r="282" spans="1:16" x14ac:dyDescent="0.25">
      <c r="A282" t="s">
        <v>417</v>
      </c>
      <c r="B282" s="5">
        <v>45763</v>
      </c>
      <c r="C282" t="s">
        <v>88</v>
      </c>
      <c r="D282" t="s">
        <v>159</v>
      </c>
      <c r="E282" t="s">
        <v>39</v>
      </c>
      <c r="F282">
        <v>2</v>
      </c>
      <c r="G282" s="1">
        <v>220</v>
      </c>
      <c r="H282" s="1">
        <v>124</v>
      </c>
      <c r="I282" s="5"/>
      <c r="J282" t="s">
        <v>46</v>
      </c>
      <c r="K282" t="s">
        <v>24</v>
      </c>
      <c r="L282" t="s">
        <v>103</v>
      </c>
      <c r="M282" s="1">
        <f>(orders[[#This Row],[Revenue]]-orders[[#This Row],[Cost]])</f>
        <v>96</v>
      </c>
      <c r="N282" s="8">
        <f>IFERROR(orders[[#This Row],[profit]]/orders[[#This Row],[Revenue]],0)</f>
        <v>0.43636363636363634</v>
      </c>
      <c r="O282" t="str">
        <f>IF(orders[[#This Row],[Delivery Date]]="","",(orders[[#This Row],[Delivery Date]]-orders[[#This Row],[Date]]))</f>
        <v/>
      </c>
      <c r="P282" t="str">
        <f>IF(orders[[#This Row],[delivery days]]="","Not Delivered",IF(orders[[#This Row],[delivery days]]&lt;=2,"Fast",IF(orders[[#This Row],[delivery days]]&lt;=5,"Normal","Delayed")))</f>
        <v>Not Delivered</v>
      </c>
    </row>
    <row r="283" spans="1:16" x14ac:dyDescent="0.25">
      <c r="A283" t="s">
        <v>418</v>
      </c>
      <c r="B283" s="5">
        <v>45764</v>
      </c>
      <c r="C283" t="s">
        <v>269</v>
      </c>
      <c r="D283" t="s">
        <v>135</v>
      </c>
      <c r="E283" t="s">
        <v>62</v>
      </c>
      <c r="F283">
        <v>1</v>
      </c>
      <c r="G283" s="1">
        <v>115</v>
      </c>
      <c r="H283" s="1">
        <v>63</v>
      </c>
      <c r="I283" s="5">
        <v>45766</v>
      </c>
      <c r="J283" t="s">
        <v>30</v>
      </c>
      <c r="K283" t="s">
        <v>17</v>
      </c>
      <c r="L283" t="s">
        <v>25</v>
      </c>
      <c r="M283" s="1">
        <f>(orders[[#This Row],[Revenue]]-orders[[#This Row],[Cost]])</f>
        <v>52</v>
      </c>
      <c r="N283" s="8">
        <f>IFERROR(orders[[#This Row],[profit]]/orders[[#This Row],[Revenue]],0)</f>
        <v>0.45217391304347826</v>
      </c>
      <c r="O283">
        <f>IF(orders[[#This Row],[Delivery Date]]="","",(orders[[#This Row],[Delivery Date]]-orders[[#This Row],[Date]]))</f>
        <v>2</v>
      </c>
      <c r="P283" t="str">
        <f>IF(orders[[#This Row],[delivery days]]="","Not Delivered",IF(orders[[#This Row],[delivery days]]&lt;=2,"Fast",IF(orders[[#This Row],[delivery days]]&lt;=5,"Normal","Delayed")))</f>
        <v>Fast</v>
      </c>
    </row>
    <row r="284" spans="1:16" x14ac:dyDescent="0.25">
      <c r="A284" t="s">
        <v>419</v>
      </c>
      <c r="B284" s="5">
        <v>45764</v>
      </c>
      <c r="C284" t="s">
        <v>282</v>
      </c>
      <c r="D284" t="s">
        <v>55</v>
      </c>
      <c r="E284" t="s">
        <v>39</v>
      </c>
      <c r="F284">
        <v>2</v>
      </c>
      <c r="G284" s="1">
        <v>772.8</v>
      </c>
      <c r="H284" s="1">
        <v>550</v>
      </c>
      <c r="I284" s="5">
        <v>45765</v>
      </c>
      <c r="J284" t="s">
        <v>30</v>
      </c>
      <c r="K284" t="s">
        <v>35</v>
      </c>
      <c r="L284" t="s">
        <v>25</v>
      </c>
      <c r="M284" s="1">
        <f>(orders[[#This Row],[Revenue]]-orders[[#This Row],[Cost]])</f>
        <v>222.79999999999995</v>
      </c>
      <c r="N284" s="8">
        <f>IFERROR(orders[[#This Row],[profit]]/orders[[#This Row],[Revenue]],0)</f>
        <v>0.2883022774327122</v>
      </c>
      <c r="O284">
        <f>IF(orders[[#This Row],[Delivery Date]]="","",(orders[[#This Row],[Delivery Date]]-orders[[#This Row],[Date]]))</f>
        <v>1</v>
      </c>
      <c r="P284" t="str">
        <f>IF(orders[[#This Row],[delivery days]]="","Not Delivered",IF(orders[[#This Row],[delivery days]]&lt;=2,"Fast",IF(orders[[#This Row],[delivery days]]&lt;=5,"Normal","Delayed")))</f>
        <v>Fast</v>
      </c>
    </row>
    <row r="285" spans="1:16" x14ac:dyDescent="0.25">
      <c r="A285" t="s">
        <v>420</v>
      </c>
      <c r="B285" s="5">
        <v>45764</v>
      </c>
      <c r="C285" t="s">
        <v>32</v>
      </c>
      <c r="D285" t="s">
        <v>208</v>
      </c>
      <c r="E285" t="s">
        <v>15</v>
      </c>
      <c r="F285">
        <v>2</v>
      </c>
      <c r="G285" s="1">
        <v>260</v>
      </c>
      <c r="H285" s="1">
        <v>152</v>
      </c>
      <c r="I285" s="5">
        <v>45766</v>
      </c>
      <c r="J285" t="s">
        <v>30</v>
      </c>
      <c r="K285" t="s">
        <v>35</v>
      </c>
      <c r="L285" t="s">
        <v>25</v>
      </c>
      <c r="M285" s="1">
        <f>(orders[[#This Row],[Revenue]]-orders[[#This Row],[Cost]])</f>
        <v>108</v>
      </c>
      <c r="N285" s="8">
        <f>IFERROR(orders[[#This Row],[profit]]/orders[[#This Row],[Revenue]],0)</f>
        <v>0.41538461538461541</v>
      </c>
      <c r="O285">
        <f>IF(orders[[#This Row],[Delivery Date]]="","",(orders[[#This Row],[Delivery Date]]-orders[[#This Row],[Date]]))</f>
        <v>2</v>
      </c>
      <c r="P285" t="str">
        <f>IF(orders[[#This Row],[delivery days]]="","Not Delivered",IF(orders[[#This Row],[delivery days]]&lt;=2,"Fast",IF(orders[[#This Row],[delivery days]]&lt;=5,"Normal","Delayed")))</f>
        <v>Fast</v>
      </c>
    </row>
    <row r="286" spans="1:16" x14ac:dyDescent="0.25">
      <c r="A286" t="s">
        <v>421</v>
      </c>
      <c r="B286" s="5">
        <v>45764</v>
      </c>
      <c r="C286" t="s">
        <v>96</v>
      </c>
      <c r="D286" t="s">
        <v>153</v>
      </c>
      <c r="E286" t="s">
        <v>34</v>
      </c>
      <c r="F286">
        <v>1</v>
      </c>
      <c r="G286" s="1">
        <v>68</v>
      </c>
      <c r="H286" s="1">
        <v>32</v>
      </c>
      <c r="I286" s="5">
        <v>45767</v>
      </c>
      <c r="J286" t="s">
        <v>16</v>
      </c>
      <c r="K286" t="s">
        <v>17</v>
      </c>
      <c r="L286" t="s">
        <v>25</v>
      </c>
      <c r="M286" s="1">
        <f>(orders[[#This Row],[Revenue]]-orders[[#This Row],[Cost]])</f>
        <v>36</v>
      </c>
      <c r="N286" s="8">
        <f>IFERROR(orders[[#This Row],[profit]]/orders[[#This Row],[Revenue]],0)</f>
        <v>0.52941176470588236</v>
      </c>
      <c r="O286">
        <f>IF(orders[[#This Row],[Delivery Date]]="","",(orders[[#This Row],[Delivery Date]]-orders[[#This Row],[Date]]))</f>
        <v>3</v>
      </c>
      <c r="P286" t="str">
        <f>IF(orders[[#This Row],[delivery days]]="","Not Delivered",IF(orders[[#This Row],[delivery days]]&lt;=2,"Fast",IF(orders[[#This Row],[delivery days]]&lt;=5,"Normal","Delayed")))</f>
        <v>Normal</v>
      </c>
    </row>
    <row r="287" spans="1:16" x14ac:dyDescent="0.25">
      <c r="A287" t="s">
        <v>422</v>
      </c>
      <c r="B287" s="5">
        <v>45765</v>
      </c>
      <c r="C287" t="s">
        <v>282</v>
      </c>
      <c r="D287" t="s">
        <v>146</v>
      </c>
      <c r="E287" t="s">
        <v>22</v>
      </c>
      <c r="F287">
        <v>2</v>
      </c>
      <c r="G287" s="1">
        <v>176</v>
      </c>
      <c r="H287" s="1">
        <v>90</v>
      </c>
      <c r="I287" s="5">
        <v>45766</v>
      </c>
      <c r="J287" t="s">
        <v>30</v>
      </c>
      <c r="K287" t="s">
        <v>35</v>
      </c>
      <c r="L287" t="s">
        <v>25</v>
      </c>
      <c r="M287" s="1">
        <f>(orders[[#This Row],[Revenue]]-orders[[#This Row],[Cost]])</f>
        <v>86</v>
      </c>
      <c r="N287" s="8">
        <f>IFERROR(orders[[#This Row],[profit]]/orders[[#This Row],[Revenue]],0)</f>
        <v>0.48863636363636365</v>
      </c>
      <c r="O287">
        <f>IF(orders[[#This Row],[Delivery Date]]="","",(orders[[#This Row],[Delivery Date]]-orders[[#This Row],[Date]]))</f>
        <v>1</v>
      </c>
      <c r="P287" t="str">
        <f>IF(orders[[#This Row],[delivery days]]="","Not Delivered",IF(orders[[#This Row],[delivery days]]&lt;=2,"Fast",IF(orders[[#This Row],[delivery days]]&lt;=5,"Normal","Delayed")))</f>
        <v>Fast</v>
      </c>
    </row>
    <row r="288" spans="1:16" x14ac:dyDescent="0.25">
      <c r="A288" t="s">
        <v>423</v>
      </c>
      <c r="B288" s="5">
        <v>45766</v>
      </c>
      <c r="C288" t="s">
        <v>41</v>
      </c>
      <c r="D288" t="s">
        <v>28</v>
      </c>
      <c r="E288" t="s">
        <v>29</v>
      </c>
      <c r="F288">
        <v>3</v>
      </c>
      <c r="G288" s="1">
        <v>66.239999999999995</v>
      </c>
      <c r="H288" s="1">
        <v>27</v>
      </c>
      <c r="I288" s="5">
        <v>45769</v>
      </c>
      <c r="J288" t="s">
        <v>101</v>
      </c>
      <c r="K288" t="s">
        <v>47</v>
      </c>
      <c r="L288" t="s">
        <v>25</v>
      </c>
      <c r="M288" s="1">
        <f>(orders[[#This Row],[Revenue]]-orders[[#This Row],[Cost]])</f>
        <v>39.239999999999995</v>
      </c>
      <c r="N288" s="8">
        <f>IFERROR(orders[[#This Row],[profit]]/orders[[#This Row],[Revenue]],0)</f>
        <v>0.59239130434782605</v>
      </c>
      <c r="O288">
        <f>IF(orders[[#This Row],[Delivery Date]]="","",(orders[[#This Row],[Delivery Date]]-orders[[#This Row],[Date]]))</f>
        <v>3</v>
      </c>
      <c r="P288" t="str">
        <f>IF(orders[[#This Row],[delivery days]]="","Not Delivered",IF(orders[[#This Row],[delivery days]]&lt;=2,"Fast",IF(orders[[#This Row],[delivery days]]&lt;=5,"Normal","Delayed")))</f>
        <v>Normal</v>
      </c>
    </row>
    <row r="289" spans="1:16" x14ac:dyDescent="0.25">
      <c r="A289" t="s">
        <v>424</v>
      </c>
      <c r="B289" s="5">
        <v>45766</v>
      </c>
      <c r="C289" t="s">
        <v>116</v>
      </c>
      <c r="D289" t="s">
        <v>76</v>
      </c>
      <c r="E289" t="s">
        <v>77</v>
      </c>
      <c r="F289">
        <v>3</v>
      </c>
      <c r="G289" s="1">
        <v>780</v>
      </c>
      <c r="H289" s="1">
        <v>495</v>
      </c>
      <c r="I289" s="5">
        <v>45770</v>
      </c>
      <c r="J289" t="s">
        <v>23</v>
      </c>
      <c r="K289" t="s">
        <v>17</v>
      </c>
      <c r="L289" t="s">
        <v>25</v>
      </c>
      <c r="M289" s="1">
        <f>(orders[[#This Row],[Revenue]]-orders[[#This Row],[Cost]])</f>
        <v>285</v>
      </c>
      <c r="N289" s="8">
        <f>IFERROR(orders[[#This Row],[profit]]/orders[[#This Row],[Revenue]],0)</f>
        <v>0.36538461538461536</v>
      </c>
      <c r="O289">
        <f>IF(orders[[#This Row],[Delivery Date]]="","",(orders[[#This Row],[Delivery Date]]-orders[[#This Row],[Date]]))</f>
        <v>4</v>
      </c>
      <c r="P289" t="str">
        <f>IF(orders[[#This Row],[delivery days]]="","Not Delivered",IF(orders[[#This Row],[delivery days]]&lt;=2,"Fast",IF(orders[[#This Row],[delivery days]]&lt;=5,"Normal","Delayed")))</f>
        <v>Normal</v>
      </c>
    </row>
    <row r="290" spans="1:16" x14ac:dyDescent="0.25">
      <c r="A290" t="s">
        <v>425</v>
      </c>
      <c r="B290" s="5">
        <v>45767</v>
      </c>
      <c r="C290" t="s">
        <v>57</v>
      </c>
      <c r="D290" t="s">
        <v>108</v>
      </c>
      <c r="E290" t="s">
        <v>22</v>
      </c>
      <c r="F290">
        <v>1</v>
      </c>
      <c r="G290" s="1">
        <v>95</v>
      </c>
      <c r="H290" s="1">
        <v>42.84</v>
      </c>
      <c r="I290" s="5">
        <v>45771</v>
      </c>
      <c r="J290" t="s">
        <v>16</v>
      </c>
      <c r="K290" t="s">
        <v>17</v>
      </c>
      <c r="L290" t="s">
        <v>25</v>
      </c>
      <c r="M290" s="1">
        <f>(orders[[#This Row],[Revenue]]-orders[[#This Row],[Cost]])</f>
        <v>52.16</v>
      </c>
      <c r="N290" s="8">
        <f>IFERROR(orders[[#This Row],[profit]]/orders[[#This Row],[Revenue]],0)</f>
        <v>0.54905263157894735</v>
      </c>
      <c r="O290">
        <f>IF(orders[[#This Row],[Delivery Date]]="","",(orders[[#This Row],[Delivery Date]]-orders[[#This Row],[Date]]))</f>
        <v>4</v>
      </c>
      <c r="P290" t="str">
        <f>IF(orders[[#This Row],[delivery days]]="","Not Delivered",IF(orders[[#This Row],[delivery days]]&lt;=2,"Fast",IF(orders[[#This Row],[delivery days]]&lt;=5,"Normal","Delayed")))</f>
        <v>Normal</v>
      </c>
    </row>
    <row r="291" spans="1:16" x14ac:dyDescent="0.25">
      <c r="A291" t="s">
        <v>426</v>
      </c>
      <c r="B291" s="5">
        <v>45767</v>
      </c>
      <c r="C291" t="s">
        <v>204</v>
      </c>
      <c r="D291" t="s">
        <v>80</v>
      </c>
      <c r="E291" t="s">
        <v>77</v>
      </c>
      <c r="F291">
        <v>4</v>
      </c>
      <c r="G291" s="1">
        <v>300</v>
      </c>
      <c r="H291" s="1">
        <v>152</v>
      </c>
      <c r="I291" s="5">
        <v>45769</v>
      </c>
      <c r="J291" t="s">
        <v>23</v>
      </c>
      <c r="K291" t="s">
        <v>17</v>
      </c>
      <c r="L291" t="s">
        <v>25</v>
      </c>
      <c r="M291" s="1">
        <f>(orders[[#This Row],[Revenue]]-orders[[#This Row],[Cost]])</f>
        <v>148</v>
      </c>
      <c r="N291" s="8">
        <f>IFERROR(orders[[#This Row],[profit]]/orders[[#This Row],[Revenue]],0)</f>
        <v>0.49333333333333335</v>
      </c>
      <c r="O291">
        <f>IF(orders[[#This Row],[Delivery Date]]="","",(orders[[#This Row],[Delivery Date]]-orders[[#This Row],[Date]]))</f>
        <v>2</v>
      </c>
      <c r="P291" t="str">
        <f>IF(orders[[#This Row],[delivery days]]="","Not Delivered",IF(orders[[#This Row],[delivery days]]&lt;=2,"Fast",IF(orders[[#This Row],[delivery days]]&lt;=5,"Normal","Delayed")))</f>
        <v>Fast</v>
      </c>
    </row>
    <row r="292" spans="1:16" x14ac:dyDescent="0.25">
      <c r="A292" t="s">
        <v>427</v>
      </c>
      <c r="B292" s="5">
        <v>45768</v>
      </c>
      <c r="C292" t="s">
        <v>107</v>
      </c>
      <c r="D292" t="s">
        <v>289</v>
      </c>
      <c r="E292" t="s">
        <v>22</v>
      </c>
      <c r="F292">
        <v>2</v>
      </c>
      <c r="G292" s="1">
        <v>127.72</v>
      </c>
      <c r="H292" s="1">
        <v>58</v>
      </c>
      <c r="I292" s="5">
        <v>45769</v>
      </c>
      <c r="J292" t="s">
        <v>30</v>
      </c>
      <c r="K292" t="s">
        <v>17</v>
      </c>
      <c r="L292" t="s">
        <v>25</v>
      </c>
      <c r="M292" s="1">
        <f>(orders[[#This Row],[Revenue]]-orders[[#This Row],[Cost]])</f>
        <v>69.72</v>
      </c>
      <c r="N292" s="8">
        <f>IFERROR(orders[[#This Row],[profit]]/orders[[#This Row],[Revenue]],0)</f>
        <v>0.54588161603507668</v>
      </c>
      <c r="O292">
        <f>IF(orders[[#This Row],[Delivery Date]]="","",(orders[[#This Row],[Delivery Date]]-orders[[#This Row],[Date]]))</f>
        <v>1</v>
      </c>
      <c r="P292" t="str">
        <f>IF(orders[[#This Row],[delivery days]]="","Not Delivered",IF(orders[[#This Row],[delivery days]]&lt;=2,"Fast",IF(orders[[#This Row],[delivery days]]&lt;=5,"Normal","Delayed")))</f>
        <v>Fast</v>
      </c>
    </row>
    <row r="293" spans="1:16" x14ac:dyDescent="0.25">
      <c r="A293" t="s">
        <v>428</v>
      </c>
      <c r="B293" s="5">
        <v>45768</v>
      </c>
      <c r="C293" t="s">
        <v>112</v>
      </c>
      <c r="D293" t="s">
        <v>76</v>
      </c>
      <c r="E293" t="s">
        <v>77</v>
      </c>
      <c r="F293">
        <v>2</v>
      </c>
      <c r="G293" s="1">
        <v>561.6</v>
      </c>
      <c r="H293" s="1">
        <v>330</v>
      </c>
      <c r="I293" s="5"/>
      <c r="J293" t="s">
        <v>16</v>
      </c>
      <c r="K293" t="s">
        <v>35</v>
      </c>
      <c r="L293" t="s">
        <v>42</v>
      </c>
      <c r="M293" s="1">
        <f>(orders[[#This Row],[Revenue]]-orders[[#This Row],[Cost]])</f>
        <v>231.60000000000002</v>
      </c>
      <c r="N293" s="8">
        <f>IFERROR(orders[[#This Row],[profit]]/orders[[#This Row],[Revenue]],0)</f>
        <v>0.41239316239316243</v>
      </c>
      <c r="O293" t="str">
        <f>IF(orders[[#This Row],[Delivery Date]]="","",(orders[[#This Row],[Delivery Date]]-orders[[#This Row],[Date]]))</f>
        <v/>
      </c>
      <c r="P293" t="str">
        <f>IF(orders[[#This Row],[delivery days]]="","Not Delivered",IF(orders[[#This Row],[delivery days]]&lt;=2,"Fast",IF(orders[[#This Row],[delivery days]]&lt;=5,"Normal","Delayed")))</f>
        <v>Not Delivered</v>
      </c>
    </row>
    <row r="294" spans="1:16" x14ac:dyDescent="0.25">
      <c r="A294" t="s">
        <v>429</v>
      </c>
      <c r="B294" s="5">
        <v>45769</v>
      </c>
      <c r="C294" t="s">
        <v>149</v>
      </c>
      <c r="D294" t="s">
        <v>266</v>
      </c>
      <c r="E294" t="s">
        <v>22</v>
      </c>
      <c r="F294">
        <v>2</v>
      </c>
      <c r="G294" s="1">
        <v>36</v>
      </c>
      <c r="H294" s="1">
        <v>14</v>
      </c>
      <c r="I294" s="5">
        <v>45774</v>
      </c>
      <c r="J294" t="s">
        <v>16</v>
      </c>
      <c r="K294" t="s">
        <v>17</v>
      </c>
      <c r="L294" t="s">
        <v>25</v>
      </c>
      <c r="M294" s="1">
        <f>(orders[[#This Row],[Revenue]]-orders[[#This Row],[Cost]])</f>
        <v>22</v>
      </c>
      <c r="N294" s="8">
        <f>IFERROR(orders[[#This Row],[profit]]/orders[[#This Row],[Revenue]],0)</f>
        <v>0.61111111111111116</v>
      </c>
      <c r="O294">
        <f>IF(orders[[#This Row],[Delivery Date]]="","",(orders[[#This Row],[Delivery Date]]-orders[[#This Row],[Date]]))</f>
        <v>5</v>
      </c>
      <c r="P294" t="str">
        <f>IF(orders[[#This Row],[delivery days]]="","Not Delivered",IF(orders[[#This Row],[delivery days]]&lt;=2,"Fast",IF(orders[[#This Row],[delivery days]]&lt;=5,"Normal","Delayed")))</f>
        <v>Normal</v>
      </c>
    </row>
    <row r="295" spans="1:16" x14ac:dyDescent="0.25">
      <c r="A295" t="s">
        <v>430</v>
      </c>
      <c r="B295" s="5">
        <v>45769</v>
      </c>
      <c r="C295" t="s">
        <v>174</v>
      </c>
      <c r="D295" t="s">
        <v>266</v>
      </c>
      <c r="E295" t="s">
        <v>22</v>
      </c>
      <c r="F295">
        <v>4</v>
      </c>
      <c r="G295" s="1">
        <v>74.16</v>
      </c>
      <c r="H295" s="1">
        <v>28</v>
      </c>
      <c r="I295" s="5">
        <v>45771</v>
      </c>
      <c r="J295" t="s">
        <v>30</v>
      </c>
      <c r="K295" t="s">
        <v>35</v>
      </c>
      <c r="L295" t="s">
        <v>25</v>
      </c>
      <c r="M295" s="1">
        <f>(orders[[#This Row],[Revenue]]-orders[[#This Row],[Cost]])</f>
        <v>46.16</v>
      </c>
      <c r="N295" s="8">
        <f>IFERROR(orders[[#This Row],[profit]]/orders[[#This Row],[Revenue]],0)</f>
        <v>0.62243797195253503</v>
      </c>
      <c r="O295">
        <f>IF(orders[[#This Row],[Delivery Date]]="","",(orders[[#This Row],[Delivery Date]]-orders[[#This Row],[Date]]))</f>
        <v>2</v>
      </c>
      <c r="P295" t="str">
        <f>IF(orders[[#This Row],[delivery days]]="","Not Delivered",IF(orders[[#This Row],[delivery days]]&lt;=2,"Fast",IF(orders[[#This Row],[delivery days]]&lt;=5,"Normal","Delayed")))</f>
        <v>Fast</v>
      </c>
    </row>
    <row r="296" spans="1:16" x14ac:dyDescent="0.25">
      <c r="A296" t="s">
        <v>431</v>
      </c>
      <c r="B296" s="5">
        <v>45770</v>
      </c>
      <c r="C296" t="s">
        <v>105</v>
      </c>
      <c r="D296" t="s">
        <v>187</v>
      </c>
      <c r="E296" t="s">
        <v>15</v>
      </c>
      <c r="F296">
        <v>3</v>
      </c>
      <c r="G296" s="1">
        <v>105</v>
      </c>
      <c r="H296" s="1">
        <v>48</v>
      </c>
      <c r="I296" s="5">
        <v>45773</v>
      </c>
      <c r="J296" t="s">
        <v>16</v>
      </c>
      <c r="K296" t="s">
        <v>17</v>
      </c>
      <c r="L296" t="s">
        <v>25</v>
      </c>
      <c r="M296" s="1">
        <f>(orders[[#This Row],[Revenue]]-orders[[#This Row],[Cost]])</f>
        <v>57</v>
      </c>
      <c r="N296" s="8">
        <f>IFERROR(orders[[#This Row],[profit]]/orders[[#This Row],[Revenue]],0)</f>
        <v>0.54285714285714282</v>
      </c>
      <c r="O296">
        <f>IF(orders[[#This Row],[Delivery Date]]="","",(orders[[#This Row],[Delivery Date]]-orders[[#This Row],[Date]]))</f>
        <v>3</v>
      </c>
      <c r="P296" t="str">
        <f>IF(orders[[#This Row],[delivery days]]="","Not Delivered",IF(orders[[#This Row],[delivery days]]&lt;=2,"Fast",IF(orders[[#This Row],[delivery days]]&lt;=5,"Normal","Delayed")))</f>
        <v>Normal</v>
      </c>
    </row>
    <row r="297" spans="1:16" x14ac:dyDescent="0.25">
      <c r="A297" t="s">
        <v>432</v>
      </c>
      <c r="B297" s="5">
        <v>45770</v>
      </c>
      <c r="C297" t="s">
        <v>142</v>
      </c>
      <c r="D297" t="s">
        <v>58</v>
      </c>
      <c r="E297" t="s">
        <v>39</v>
      </c>
      <c r="F297">
        <v>3</v>
      </c>
      <c r="G297" s="1">
        <v>3450</v>
      </c>
      <c r="H297" s="1">
        <v>2754</v>
      </c>
      <c r="I297" s="5">
        <v>45774</v>
      </c>
      <c r="J297" t="s">
        <v>52</v>
      </c>
      <c r="K297" t="s">
        <v>47</v>
      </c>
      <c r="L297" t="s">
        <v>25</v>
      </c>
      <c r="M297" s="1">
        <f>(orders[[#This Row],[Revenue]]-orders[[#This Row],[Cost]])</f>
        <v>696</v>
      </c>
      <c r="N297" s="8">
        <f>IFERROR(orders[[#This Row],[profit]]/orders[[#This Row],[Revenue]],0)</f>
        <v>0.20173913043478262</v>
      </c>
      <c r="O297">
        <f>IF(orders[[#This Row],[Delivery Date]]="","",(orders[[#This Row],[Delivery Date]]-orders[[#This Row],[Date]]))</f>
        <v>4</v>
      </c>
      <c r="P297" t="str">
        <f>IF(orders[[#This Row],[delivery days]]="","Not Delivered",IF(orders[[#This Row],[delivery days]]&lt;=2,"Fast",IF(orders[[#This Row],[delivery days]]&lt;=5,"Normal","Delayed")))</f>
        <v>Normal</v>
      </c>
    </row>
    <row r="298" spans="1:16" x14ac:dyDescent="0.25">
      <c r="A298" t="s">
        <v>433</v>
      </c>
      <c r="B298" s="5">
        <v>45770</v>
      </c>
      <c r="C298" t="s">
        <v>116</v>
      </c>
      <c r="D298" t="s">
        <v>127</v>
      </c>
      <c r="E298" t="s">
        <v>29</v>
      </c>
      <c r="F298">
        <v>2</v>
      </c>
      <c r="G298" s="1">
        <v>33.119999999999997</v>
      </c>
      <c r="H298" s="1">
        <v>11.76</v>
      </c>
      <c r="I298" s="5">
        <v>45772</v>
      </c>
      <c r="J298" t="s">
        <v>30</v>
      </c>
      <c r="K298" t="s">
        <v>35</v>
      </c>
      <c r="L298" t="s">
        <v>25</v>
      </c>
      <c r="M298" s="1">
        <f>(orders[[#This Row],[Revenue]]-orders[[#This Row],[Cost]])</f>
        <v>21.36</v>
      </c>
      <c r="N298" s="8">
        <f>IFERROR(orders[[#This Row],[profit]]/orders[[#This Row],[Revenue]],0)</f>
        <v>0.64492753623188404</v>
      </c>
      <c r="O298">
        <f>IF(orders[[#This Row],[Delivery Date]]="","",(orders[[#This Row],[Delivery Date]]-orders[[#This Row],[Date]]))</f>
        <v>2</v>
      </c>
      <c r="P298" t="str">
        <f>IF(orders[[#This Row],[delivery days]]="","Not Delivered",IF(orders[[#This Row],[delivery days]]&lt;=2,"Fast",IF(orders[[#This Row],[delivery days]]&lt;=5,"Normal","Delayed")))</f>
        <v>Fast</v>
      </c>
    </row>
    <row r="299" spans="1:16" x14ac:dyDescent="0.25">
      <c r="A299" t="s">
        <v>434</v>
      </c>
      <c r="B299" s="5">
        <v>45770</v>
      </c>
      <c r="C299" t="s">
        <v>116</v>
      </c>
      <c r="D299" t="s">
        <v>83</v>
      </c>
      <c r="E299" t="s">
        <v>15</v>
      </c>
      <c r="F299">
        <v>1</v>
      </c>
      <c r="G299" s="1">
        <v>75</v>
      </c>
      <c r="H299" s="1">
        <v>39</v>
      </c>
      <c r="I299" s="5">
        <v>45774</v>
      </c>
      <c r="J299" t="s">
        <v>23</v>
      </c>
      <c r="K299" t="s">
        <v>24</v>
      </c>
      <c r="L299" t="s">
        <v>25</v>
      </c>
      <c r="M299" s="1">
        <f>(orders[[#This Row],[Revenue]]-orders[[#This Row],[Cost]])</f>
        <v>36</v>
      </c>
      <c r="N299" s="8">
        <f>IFERROR(orders[[#This Row],[profit]]/orders[[#This Row],[Revenue]],0)</f>
        <v>0.48</v>
      </c>
      <c r="O299">
        <f>IF(orders[[#This Row],[Delivery Date]]="","",(orders[[#This Row],[Delivery Date]]-orders[[#This Row],[Date]]))</f>
        <v>4</v>
      </c>
      <c r="P299" t="str">
        <f>IF(orders[[#This Row],[delivery days]]="","Not Delivered",IF(orders[[#This Row],[delivery days]]&lt;=2,"Fast",IF(orders[[#This Row],[delivery days]]&lt;=5,"Normal","Delayed")))</f>
        <v>Normal</v>
      </c>
    </row>
    <row r="300" spans="1:16" x14ac:dyDescent="0.25">
      <c r="A300" t="s">
        <v>435</v>
      </c>
      <c r="B300" s="5">
        <v>45770</v>
      </c>
      <c r="C300" t="s">
        <v>228</v>
      </c>
      <c r="D300" t="s">
        <v>129</v>
      </c>
      <c r="E300" t="s">
        <v>39</v>
      </c>
      <c r="F300">
        <v>3</v>
      </c>
      <c r="G300" s="1">
        <v>360</v>
      </c>
      <c r="H300" s="1">
        <v>204</v>
      </c>
      <c r="I300" s="5">
        <v>45774</v>
      </c>
      <c r="J300" t="s">
        <v>30</v>
      </c>
      <c r="K300" t="s">
        <v>17</v>
      </c>
      <c r="L300" t="s">
        <v>25</v>
      </c>
      <c r="M300" s="1">
        <f>(orders[[#This Row],[Revenue]]-orders[[#This Row],[Cost]])</f>
        <v>156</v>
      </c>
      <c r="N300" s="8">
        <f>IFERROR(orders[[#This Row],[profit]]/orders[[#This Row],[Revenue]],0)</f>
        <v>0.43333333333333335</v>
      </c>
      <c r="O300">
        <f>IF(orders[[#This Row],[Delivery Date]]="","",(orders[[#This Row],[Delivery Date]]-orders[[#This Row],[Date]]))</f>
        <v>4</v>
      </c>
      <c r="P300" t="str">
        <f>IF(orders[[#This Row],[delivery days]]="","Not Delivered",IF(orders[[#This Row],[delivery days]]&lt;=2,"Fast",IF(orders[[#This Row],[delivery days]]&lt;=5,"Normal","Delayed")))</f>
        <v>Normal</v>
      </c>
    </row>
    <row r="301" spans="1:16" x14ac:dyDescent="0.25">
      <c r="A301" t="s">
        <v>436</v>
      </c>
      <c r="B301" s="5">
        <v>45771</v>
      </c>
      <c r="C301" t="s">
        <v>54</v>
      </c>
      <c r="D301" t="s">
        <v>65</v>
      </c>
      <c r="E301" t="s">
        <v>62</v>
      </c>
      <c r="F301">
        <v>3</v>
      </c>
      <c r="G301" s="1">
        <v>155.52000000000001</v>
      </c>
      <c r="H301" s="1">
        <v>63</v>
      </c>
      <c r="I301" s="5">
        <v>45774</v>
      </c>
      <c r="J301" t="s">
        <v>46</v>
      </c>
      <c r="K301" t="s">
        <v>24</v>
      </c>
      <c r="L301" t="s">
        <v>25</v>
      </c>
      <c r="M301" s="1">
        <f>(orders[[#This Row],[Revenue]]-orders[[#This Row],[Cost]])</f>
        <v>92.52000000000001</v>
      </c>
      <c r="N301" s="8">
        <f>IFERROR(orders[[#This Row],[profit]]/orders[[#This Row],[Revenue]],0)</f>
        <v>0.59490740740740744</v>
      </c>
      <c r="O301">
        <f>IF(orders[[#This Row],[Delivery Date]]="","",(orders[[#This Row],[Delivery Date]]-orders[[#This Row],[Date]]))</f>
        <v>3</v>
      </c>
      <c r="P301" t="str">
        <f>IF(orders[[#This Row],[delivery days]]="","Not Delivered",IF(orders[[#This Row],[delivery days]]&lt;=2,"Fast",IF(orders[[#This Row],[delivery days]]&lt;=5,"Normal","Delayed")))</f>
        <v>Normal</v>
      </c>
    </row>
    <row r="302" spans="1:16" x14ac:dyDescent="0.25">
      <c r="A302" t="s">
        <v>437</v>
      </c>
      <c r="B302" s="5">
        <v>45771</v>
      </c>
      <c r="C302" t="s">
        <v>228</v>
      </c>
      <c r="D302" t="s">
        <v>76</v>
      </c>
      <c r="E302" t="s">
        <v>77</v>
      </c>
      <c r="F302">
        <v>1</v>
      </c>
      <c r="G302" s="1">
        <v>252.2</v>
      </c>
      <c r="H302" s="1">
        <v>165</v>
      </c>
      <c r="I302" s="5">
        <v>45773</v>
      </c>
      <c r="J302" t="s">
        <v>46</v>
      </c>
      <c r="K302" t="s">
        <v>47</v>
      </c>
      <c r="L302" t="s">
        <v>25</v>
      </c>
      <c r="M302" s="1">
        <f>(orders[[#This Row],[Revenue]]-orders[[#This Row],[Cost]])</f>
        <v>87.199999999999989</v>
      </c>
      <c r="N302" s="8">
        <f>IFERROR(orders[[#This Row],[profit]]/orders[[#This Row],[Revenue]],0)</f>
        <v>0.34575733544805709</v>
      </c>
      <c r="O302">
        <f>IF(orders[[#This Row],[Delivery Date]]="","",(orders[[#This Row],[Delivery Date]]-orders[[#This Row],[Date]]))</f>
        <v>2</v>
      </c>
      <c r="P302" t="str">
        <f>IF(orders[[#This Row],[delivery days]]="","Not Delivered",IF(orders[[#This Row],[delivery days]]&lt;=2,"Fast",IF(orders[[#This Row],[delivery days]]&lt;=5,"Normal","Delayed")))</f>
        <v>Fast</v>
      </c>
    </row>
    <row r="303" spans="1:16" x14ac:dyDescent="0.25">
      <c r="A303" t="s">
        <v>438</v>
      </c>
      <c r="B303" s="5">
        <v>45771</v>
      </c>
      <c r="C303" t="s">
        <v>67</v>
      </c>
      <c r="D303" t="s">
        <v>55</v>
      </c>
      <c r="E303" t="s">
        <v>39</v>
      </c>
      <c r="F303">
        <v>1</v>
      </c>
      <c r="G303" s="1">
        <v>386.4</v>
      </c>
      <c r="H303" s="1">
        <v>269.5</v>
      </c>
      <c r="I303" s="5">
        <v>45775</v>
      </c>
      <c r="J303" t="s">
        <v>16</v>
      </c>
      <c r="K303" t="s">
        <v>17</v>
      </c>
      <c r="L303" t="s">
        <v>25</v>
      </c>
      <c r="M303" s="1">
        <f>(orders[[#This Row],[Revenue]]-orders[[#This Row],[Cost]])</f>
        <v>116.89999999999998</v>
      </c>
      <c r="N303" s="8">
        <f>IFERROR(orders[[#This Row],[profit]]/orders[[#This Row],[Revenue]],0)</f>
        <v>0.30253623188405793</v>
      </c>
      <c r="O303">
        <f>IF(orders[[#This Row],[Delivery Date]]="","",(orders[[#This Row],[Delivery Date]]-orders[[#This Row],[Date]]))</f>
        <v>4</v>
      </c>
      <c r="P303" t="str">
        <f>IF(orders[[#This Row],[delivery days]]="","Not Delivered",IF(orders[[#This Row],[delivery days]]&lt;=2,"Fast",IF(orders[[#This Row],[delivery days]]&lt;=5,"Normal","Delayed")))</f>
        <v>Normal</v>
      </c>
    </row>
    <row r="304" spans="1:16" x14ac:dyDescent="0.25">
      <c r="A304" t="s">
        <v>439</v>
      </c>
      <c r="B304" s="5">
        <v>45771</v>
      </c>
      <c r="C304" t="s">
        <v>174</v>
      </c>
      <c r="D304" t="s">
        <v>80</v>
      </c>
      <c r="E304" t="s">
        <v>77</v>
      </c>
      <c r="F304">
        <v>1</v>
      </c>
      <c r="G304" s="1">
        <v>75</v>
      </c>
      <c r="H304" s="1">
        <v>38</v>
      </c>
      <c r="I304" s="5">
        <v>45775</v>
      </c>
      <c r="J304" t="s">
        <v>16</v>
      </c>
      <c r="K304" t="s">
        <v>35</v>
      </c>
      <c r="L304" t="s">
        <v>25</v>
      </c>
      <c r="M304" s="1">
        <f>(orders[[#This Row],[Revenue]]-orders[[#This Row],[Cost]])</f>
        <v>37</v>
      </c>
      <c r="N304" s="8">
        <f>IFERROR(orders[[#This Row],[profit]]/orders[[#This Row],[Revenue]],0)</f>
        <v>0.49333333333333335</v>
      </c>
      <c r="O304">
        <f>IF(orders[[#This Row],[Delivery Date]]="","",(orders[[#This Row],[Delivery Date]]-orders[[#This Row],[Date]]))</f>
        <v>4</v>
      </c>
      <c r="P304" t="str">
        <f>IF(orders[[#This Row],[delivery days]]="","Not Delivered",IF(orders[[#This Row],[delivery days]]&lt;=2,"Fast",IF(orders[[#This Row],[delivery days]]&lt;=5,"Normal","Delayed")))</f>
        <v>Normal</v>
      </c>
    </row>
    <row r="305" spans="1:16" x14ac:dyDescent="0.25">
      <c r="A305" t="s">
        <v>440</v>
      </c>
      <c r="B305" s="5">
        <v>45772</v>
      </c>
      <c r="C305" t="s">
        <v>155</v>
      </c>
      <c r="D305" t="s">
        <v>21</v>
      </c>
      <c r="E305" t="s">
        <v>22</v>
      </c>
      <c r="F305">
        <v>2</v>
      </c>
      <c r="G305" s="1">
        <v>69.12</v>
      </c>
      <c r="H305" s="1">
        <v>26</v>
      </c>
      <c r="I305" s="5">
        <v>45775</v>
      </c>
      <c r="J305" t="s">
        <v>23</v>
      </c>
      <c r="K305" t="s">
        <v>24</v>
      </c>
      <c r="L305" t="s">
        <v>25</v>
      </c>
      <c r="M305" s="1">
        <f>(orders[[#This Row],[Revenue]]-orders[[#This Row],[Cost]])</f>
        <v>43.120000000000005</v>
      </c>
      <c r="N305" s="8">
        <f>IFERROR(orders[[#This Row],[profit]]/orders[[#This Row],[Revenue]],0)</f>
        <v>0.62384259259259267</v>
      </c>
      <c r="O305">
        <f>IF(orders[[#This Row],[Delivery Date]]="","",(orders[[#This Row],[Delivery Date]]-orders[[#This Row],[Date]]))</f>
        <v>3</v>
      </c>
      <c r="P305" t="str">
        <f>IF(orders[[#This Row],[delivery days]]="","Not Delivered",IF(orders[[#This Row],[delivery days]]&lt;=2,"Fast",IF(orders[[#This Row],[delivery days]]&lt;=5,"Normal","Delayed")))</f>
        <v>Normal</v>
      </c>
    </row>
    <row r="306" spans="1:16" x14ac:dyDescent="0.25">
      <c r="A306" t="s">
        <v>441</v>
      </c>
      <c r="B306" s="5">
        <v>45772</v>
      </c>
      <c r="C306" t="s">
        <v>27</v>
      </c>
      <c r="D306" t="s">
        <v>51</v>
      </c>
      <c r="E306" t="s">
        <v>34</v>
      </c>
      <c r="F306">
        <v>1</v>
      </c>
      <c r="G306" s="1">
        <v>91.8</v>
      </c>
      <c r="H306" s="1">
        <v>42</v>
      </c>
      <c r="I306" s="5"/>
      <c r="J306" t="s">
        <v>30</v>
      </c>
      <c r="K306" t="s">
        <v>17</v>
      </c>
      <c r="L306" t="s">
        <v>103</v>
      </c>
      <c r="M306" s="1">
        <f>(orders[[#This Row],[Revenue]]-orders[[#This Row],[Cost]])</f>
        <v>49.8</v>
      </c>
      <c r="N306" s="8">
        <f>IFERROR(orders[[#This Row],[profit]]/orders[[#This Row],[Revenue]],0)</f>
        <v>0.54248366013071891</v>
      </c>
      <c r="O306" t="str">
        <f>IF(orders[[#This Row],[Delivery Date]]="","",(orders[[#This Row],[Delivery Date]]-orders[[#This Row],[Date]]))</f>
        <v/>
      </c>
      <c r="P306" t="str">
        <f>IF(orders[[#This Row],[delivery days]]="","Not Delivered",IF(orders[[#This Row],[delivery days]]&lt;=2,"Fast",IF(orders[[#This Row],[delivery days]]&lt;=5,"Normal","Delayed")))</f>
        <v>Not Delivered</v>
      </c>
    </row>
    <row r="307" spans="1:16" x14ac:dyDescent="0.25">
      <c r="A307" t="s">
        <v>442</v>
      </c>
      <c r="B307" s="5">
        <v>45773</v>
      </c>
      <c r="C307" t="s">
        <v>259</v>
      </c>
      <c r="D307" t="s">
        <v>129</v>
      </c>
      <c r="E307" t="s">
        <v>39</v>
      </c>
      <c r="F307">
        <v>1</v>
      </c>
      <c r="G307" s="1">
        <v>120</v>
      </c>
      <c r="H307" s="1">
        <v>68</v>
      </c>
      <c r="I307" s="5">
        <v>45774</v>
      </c>
      <c r="J307" t="s">
        <v>16</v>
      </c>
      <c r="K307" t="s">
        <v>35</v>
      </c>
      <c r="L307" t="s">
        <v>25</v>
      </c>
      <c r="M307" s="1">
        <f>(orders[[#This Row],[Revenue]]-orders[[#This Row],[Cost]])</f>
        <v>52</v>
      </c>
      <c r="N307" s="8">
        <f>IFERROR(orders[[#This Row],[profit]]/orders[[#This Row],[Revenue]],0)</f>
        <v>0.43333333333333335</v>
      </c>
      <c r="O307">
        <f>IF(orders[[#This Row],[Delivery Date]]="","",(orders[[#This Row],[Delivery Date]]-orders[[#This Row],[Date]]))</f>
        <v>1</v>
      </c>
      <c r="P307" t="str">
        <f>IF(orders[[#This Row],[delivery days]]="","Not Delivered",IF(orders[[#This Row],[delivery days]]&lt;=2,"Fast",IF(orders[[#This Row],[delivery days]]&lt;=5,"Normal","Delayed")))</f>
        <v>Fast</v>
      </c>
    </row>
    <row r="308" spans="1:16" x14ac:dyDescent="0.25">
      <c r="A308" t="s">
        <v>443</v>
      </c>
      <c r="B308" s="5">
        <v>45773</v>
      </c>
      <c r="C308" t="s">
        <v>181</v>
      </c>
      <c r="D308" t="s">
        <v>135</v>
      </c>
      <c r="E308" t="s">
        <v>62</v>
      </c>
      <c r="F308">
        <v>2</v>
      </c>
      <c r="G308" s="1">
        <v>223.1</v>
      </c>
      <c r="H308" s="1">
        <v>128.52000000000001</v>
      </c>
      <c r="I308" s="5">
        <v>45778</v>
      </c>
      <c r="J308" t="s">
        <v>23</v>
      </c>
      <c r="K308" t="s">
        <v>24</v>
      </c>
      <c r="L308" t="s">
        <v>25</v>
      </c>
      <c r="M308" s="1">
        <f>(orders[[#This Row],[Revenue]]-orders[[#This Row],[Cost]])</f>
        <v>94.579999999999984</v>
      </c>
      <c r="N308" s="8">
        <f>IFERROR(orders[[#This Row],[profit]]/orders[[#This Row],[Revenue]],0)</f>
        <v>0.42393545495293583</v>
      </c>
      <c r="O308">
        <f>IF(orders[[#This Row],[Delivery Date]]="","",(orders[[#This Row],[Delivery Date]]-orders[[#This Row],[Date]]))</f>
        <v>5</v>
      </c>
      <c r="P308" t="str">
        <f>IF(orders[[#This Row],[delivery days]]="","Not Delivered",IF(orders[[#This Row],[delivery days]]&lt;=2,"Fast",IF(orders[[#This Row],[delivery days]]&lt;=5,"Normal","Delayed")))</f>
        <v>Normal</v>
      </c>
    </row>
    <row r="309" spans="1:16" x14ac:dyDescent="0.25">
      <c r="A309" t="s">
        <v>444</v>
      </c>
      <c r="B309" s="5">
        <v>45773</v>
      </c>
      <c r="C309" t="s">
        <v>116</v>
      </c>
      <c r="D309" t="s">
        <v>300</v>
      </c>
      <c r="E309" t="s">
        <v>77</v>
      </c>
      <c r="F309">
        <v>1</v>
      </c>
      <c r="G309" s="1">
        <v>390</v>
      </c>
      <c r="H309" s="1">
        <v>245</v>
      </c>
      <c r="I309" s="5">
        <v>45776</v>
      </c>
      <c r="J309" t="s">
        <v>46</v>
      </c>
      <c r="K309" t="s">
        <v>47</v>
      </c>
      <c r="L309" t="s">
        <v>25</v>
      </c>
      <c r="M309" s="1">
        <f>(orders[[#This Row],[Revenue]]-orders[[#This Row],[Cost]])</f>
        <v>145</v>
      </c>
      <c r="N309" s="8">
        <f>IFERROR(orders[[#This Row],[profit]]/orders[[#This Row],[Revenue]],0)</f>
        <v>0.37179487179487181</v>
      </c>
      <c r="O309">
        <f>IF(orders[[#This Row],[Delivery Date]]="","",(orders[[#This Row],[Delivery Date]]-orders[[#This Row],[Date]]))</f>
        <v>3</v>
      </c>
      <c r="P309" t="str">
        <f>IF(orders[[#This Row],[delivery days]]="","Not Delivered",IF(orders[[#This Row],[delivery days]]&lt;=2,"Fast",IF(orders[[#This Row],[delivery days]]&lt;=5,"Normal","Delayed")))</f>
        <v>Normal</v>
      </c>
    </row>
    <row r="310" spans="1:16" x14ac:dyDescent="0.25">
      <c r="A310" t="s">
        <v>445</v>
      </c>
      <c r="B310" s="5">
        <v>45774</v>
      </c>
      <c r="C310" t="s">
        <v>191</v>
      </c>
      <c r="D310" t="s">
        <v>108</v>
      </c>
      <c r="E310" t="s">
        <v>22</v>
      </c>
      <c r="F310">
        <v>1</v>
      </c>
      <c r="G310" s="1">
        <v>97.85</v>
      </c>
      <c r="H310" s="1">
        <v>42</v>
      </c>
      <c r="I310" s="5">
        <v>45779</v>
      </c>
      <c r="J310" t="s">
        <v>46</v>
      </c>
      <c r="K310" t="s">
        <v>24</v>
      </c>
      <c r="L310" t="s">
        <v>25</v>
      </c>
      <c r="M310" s="1">
        <f>(orders[[#This Row],[Revenue]]-orders[[#This Row],[Cost]])</f>
        <v>55.849999999999994</v>
      </c>
      <c r="N310" s="8">
        <f>IFERROR(orders[[#This Row],[profit]]/orders[[#This Row],[Revenue]],0)</f>
        <v>0.57077158916709247</v>
      </c>
      <c r="O310">
        <f>IF(orders[[#This Row],[Delivery Date]]="","",(orders[[#This Row],[Delivery Date]]-orders[[#This Row],[Date]]))</f>
        <v>5</v>
      </c>
      <c r="P310" t="str">
        <f>IF(orders[[#This Row],[delivery days]]="","Not Delivered",IF(orders[[#This Row],[delivery days]]&lt;=2,"Fast",IF(orders[[#This Row],[delivery days]]&lt;=5,"Normal","Delayed")))</f>
        <v>Normal</v>
      </c>
    </row>
    <row r="311" spans="1:16" x14ac:dyDescent="0.25">
      <c r="A311" t="s">
        <v>446</v>
      </c>
      <c r="B311" s="5">
        <v>45774</v>
      </c>
      <c r="C311" t="s">
        <v>69</v>
      </c>
      <c r="D311" t="s">
        <v>100</v>
      </c>
      <c r="E311" t="s">
        <v>34</v>
      </c>
      <c r="F311">
        <v>2</v>
      </c>
      <c r="G311" s="1">
        <v>107.12</v>
      </c>
      <c r="H311" s="1">
        <v>46.92</v>
      </c>
      <c r="I311" s="5">
        <v>45780</v>
      </c>
      <c r="J311" t="s">
        <v>52</v>
      </c>
      <c r="K311" t="s">
        <v>24</v>
      </c>
      <c r="L311" t="s">
        <v>25</v>
      </c>
      <c r="M311" s="1">
        <f>(orders[[#This Row],[Revenue]]-orders[[#This Row],[Cost]])</f>
        <v>60.2</v>
      </c>
      <c r="N311" s="8">
        <f>IFERROR(orders[[#This Row],[profit]]/orders[[#This Row],[Revenue]],0)</f>
        <v>0.56198655713218826</v>
      </c>
      <c r="O311">
        <f>IF(orders[[#This Row],[Delivery Date]]="","",(orders[[#This Row],[Delivery Date]]-orders[[#This Row],[Date]]))</f>
        <v>6</v>
      </c>
      <c r="P311" t="str">
        <f>IF(orders[[#This Row],[delivery days]]="","Not Delivered",IF(orders[[#This Row],[delivery days]]&lt;=2,"Fast",IF(orders[[#This Row],[delivery days]]&lt;=5,"Normal","Delayed")))</f>
        <v>Delayed</v>
      </c>
    </row>
    <row r="312" spans="1:16" x14ac:dyDescent="0.25">
      <c r="A312" t="s">
        <v>447</v>
      </c>
      <c r="B312" s="5">
        <v>45775</v>
      </c>
      <c r="C312" t="s">
        <v>246</v>
      </c>
      <c r="D312" t="s">
        <v>146</v>
      </c>
      <c r="E312" t="s">
        <v>22</v>
      </c>
      <c r="F312">
        <v>1</v>
      </c>
      <c r="G312" s="1">
        <v>85.36</v>
      </c>
      <c r="H312" s="1">
        <v>44.1</v>
      </c>
      <c r="I312" s="5">
        <v>45778</v>
      </c>
      <c r="J312" t="s">
        <v>30</v>
      </c>
      <c r="K312" t="s">
        <v>17</v>
      </c>
      <c r="L312" t="s">
        <v>25</v>
      </c>
      <c r="M312" s="1">
        <f>(orders[[#This Row],[Revenue]]-orders[[#This Row],[Cost]])</f>
        <v>41.26</v>
      </c>
      <c r="N312" s="8">
        <f>IFERROR(orders[[#This Row],[profit]]/orders[[#This Row],[Revenue]],0)</f>
        <v>0.48336457357075913</v>
      </c>
      <c r="O312">
        <f>IF(orders[[#This Row],[Delivery Date]]="","",(orders[[#This Row],[Delivery Date]]-orders[[#This Row],[Date]]))</f>
        <v>3</v>
      </c>
      <c r="P312" t="str">
        <f>IF(orders[[#This Row],[delivery days]]="","Not Delivered",IF(orders[[#This Row],[delivery days]]&lt;=2,"Fast",IF(orders[[#This Row],[delivery days]]&lt;=5,"Normal","Delayed")))</f>
        <v>Normal</v>
      </c>
    </row>
    <row r="313" spans="1:16" x14ac:dyDescent="0.25">
      <c r="A313" t="s">
        <v>448</v>
      </c>
      <c r="B313" s="5">
        <v>45776</v>
      </c>
      <c r="C313" t="s">
        <v>79</v>
      </c>
      <c r="D313" t="s">
        <v>65</v>
      </c>
      <c r="E313" t="s">
        <v>62</v>
      </c>
      <c r="F313">
        <v>2</v>
      </c>
      <c r="G313" s="1">
        <v>96</v>
      </c>
      <c r="H313" s="1">
        <v>42</v>
      </c>
      <c r="I313" s="5">
        <v>45780</v>
      </c>
      <c r="J313" t="s">
        <v>23</v>
      </c>
      <c r="K313" t="s">
        <v>17</v>
      </c>
      <c r="L313" t="s">
        <v>25</v>
      </c>
      <c r="M313" s="1">
        <f>(orders[[#This Row],[Revenue]]-orders[[#This Row],[Cost]])</f>
        <v>54</v>
      </c>
      <c r="N313" s="8">
        <f>IFERROR(orders[[#This Row],[profit]]/orders[[#This Row],[Revenue]],0)</f>
        <v>0.5625</v>
      </c>
      <c r="O313">
        <f>IF(orders[[#This Row],[Delivery Date]]="","",(orders[[#This Row],[Delivery Date]]-orders[[#This Row],[Date]]))</f>
        <v>4</v>
      </c>
      <c r="P313" t="str">
        <f>IF(orders[[#This Row],[delivery days]]="","Not Delivered",IF(orders[[#This Row],[delivery days]]&lt;=2,"Fast",IF(orders[[#This Row],[delivery days]]&lt;=5,"Normal","Delayed")))</f>
        <v>Normal</v>
      </c>
    </row>
    <row r="314" spans="1:16" x14ac:dyDescent="0.25">
      <c r="A314" t="s">
        <v>449</v>
      </c>
      <c r="B314" s="5">
        <v>45776</v>
      </c>
      <c r="C314" t="s">
        <v>161</v>
      </c>
      <c r="D314" t="s">
        <v>100</v>
      </c>
      <c r="E314" t="s">
        <v>34</v>
      </c>
      <c r="F314">
        <v>4</v>
      </c>
      <c r="G314" s="1">
        <v>214.24</v>
      </c>
      <c r="H314" s="1">
        <v>92</v>
      </c>
      <c r="I314" s="5">
        <v>45778</v>
      </c>
      <c r="J314" t="s">
        <v>16</v>
      </c>
      <c r="K314" t="s">
        <v>35</v>
      </c>
      <c r="L314" t="s">
        <v>25</v>
      </c>
      <c r="M314" s="1">
        <f>(orders[[#This Row],[Revenue]]-orders[[#This Row],[Cost]])</f>
        <v>122.24000000000001</v>
      </c>
      <c r="N314" s="8">
        <f>IFERROR(orders[[#This Row],[profit]]/orders[[#This Row],[Revenue]],0)</f>
        <v>0.57057505601194924</v>
      </c>
      <c r="O314">
        <f>IF(orders[[#This Row],[Delivery Date]]="","",(orders[[#This Row],[Delivery Date]]-orders[[#This Row],[Date]]))</f>
        <v>2</v>
      </c>
      <c r="P314" t="str">
        <f>IF(orders[[#This Row],[delivery days]]="","Not Delivered",IF(orders[[#This Row],[delivery days]]&lt;=2,"Fast",IF(orders[[#This Row],[delivery days]]&lt;=5,"Normal","Delayed")))</f>
        <v>Fast</v>
      </c>
    </row>
    <row r="315" spans="1:16" x14ac:dyDescent="0.25">
      <c r="A315" t="s">
        <v>450</v>
      </c>
      <c r="B315" s="5">
        <v>45777</v>
      </c>
      <c r="C315" t="s">
        <v>382</v>
      </c>
      <c r="D315" t="s">
        <v>159</v>
      </c>
      <c r="E315" t="s">
        <v>39</v>
      </c>
      <c r="F315">
        <v>1</v>
      </c>
      <c r="G315" s="1">
        <v>110</v>
      </c>
      <c r="H315" s="1">
        <v>60.76</v>
      </c>
      <c r="I315" s="5">
        <v>45780</v>
      </c>
      <c r="J315" t="s">
        <v>23</v>
      </c>
      <c r="K315" t="s">
        <v>17</v>
      </c>
      <c r="L315" t="s">
        <v>25</v>
      </c>
      <c r="M315" s="1">
        <f>(orders[[#This Row],[Revenue]]-orders[[#This Row],[Cost]])</f>
        <v>49.24</v>
      </c>
      <c r="N315" s="8">
        <f>IFERROR(orders[[#This Row],[profit]]/orders[[#This Row],[Revenue]],0)</f>
        <v>0.44763636363636367</v>
      </c>
      <c r="O315">
        <f>IF(orders[[#This Row],[Delivery Date]]="","",(orders[[#This Row],[Delivery Date]]-orders[[#This Row],[Date]]))</f>
        <v>3</v>
      </c>
      <c r="P315" t="str">
        <f>IF(orders[[#This Row],[delivery days]]="","Not Delivered",IF(orders[[#This Row],[delivery days]]&lt;=2,"Fast",IF(orders[[#This Row],[delivery days]]&lt;=5,"Normal","Delayed")))</f>
        <v>Normal</v>
      </c>
    </row>
    <row r="316" spans="1:16" x14ac:dyDescent="0.25">
      <c r="A316" t="s">
        <v>451</v>
      </c>
      <c r="B316" s="5">
        <v>45777</v>
      </c>
      <c r="C316" t="s">
        <v>184</v>
      </c>
      <c r="D316" t="s">
        <v>55</v>
      </c>
      <c r="E316" t="s">
        <v>39</v>
      </c>
      <c r="F316">
        <v>1</v>
      </c>
      <c r="G316" s="1">
        <v>432.6</v>
      </c>
      <c r="H316" s="1">
        <v>275</v>
      </c>
      <c r="I316" s="5">
        <v>45778</v>
      </c>
      <c r="J316" t="s">
        <v>30</v>
      </c>
      <c r="K316" t="s">
        <v>17</v>
      </c>
      <c r="L316" t="s">
        <v>18</v>
      </c>
      <c r="M316" s="1">
        <f>(orders[[#This Row],[Revenue]]-orders[[#This Row],[Cost]])</f>
        <v>157.60000000000002</v>
      </c>
      <c r="N316" s="8">
        <f>IFERROR(orders[[#This Row],[profit]]/orders[[#This Row],[Revenue]],0)</f>
        <v>0.36430883032824785</v>
      </c>
      <c r="O316">
        <f>IF(orders[[#This Row],[Delivery Date]]="","",(orders[[#This Row],[Delivery Date]]-orders[[#This Row],[Date]]))</f>
        <v>1</v>
      </c>
      <c r="P316" t="str">
        <f>IF(orders[[#This Row],[delivery days]]="","Not Delivered",IF(orders[[#This Row],[delivery days]]&lt;=2,"Fast",IF(orders[[#This Row],[delivery days]]&lt;=5,"Normal","Delayed")))</f>
        <v>Fast</v>
      </c>
    </row>
    <row r="317" spans="1:16" x14ac:dyDescent="0.25">
      <c r="A317" t="s">
        <v>452</v>
      </c>
      <c r="B317" s="5">
        <v>45777</v>
      </c>
      <c r="C317" t="s">
        <v>27</v>
      </c>
      <c r="D317" t="s">
        <v>83</v>
      </c>
      <c r="E317" t="s">
        <v>15</v>
      </c>
      <c r="F317">
        <v>2</v>
      </c>
      <c r="G317" s="1">
        <v>162</v>
      </c>
      <c r="H317" s="1">
        <v>78</v>
      </c>
      <c r="I317" s="5">
        <v>45779</v>
      </c>
      <c r="J317" t="s">
        <v>46</v>
      </c>
      <c r="K317" t="s">
        <v>24</v>
      </c>
      <c r="L317" t="s">
        <v>25</v>
      </c>
      <c r="M317" s="1">
        <f>(orders[[#This Row],[Revenue]]-orders[[#This Row],[Cost]])</f>
        <v>84</v>
      </c>
      <c r="N317" s="8">
        <f>IFERROR(orders[[#This Row],[profit]]/orders[[#This Row],[Revenue]],0)</f>
        <v>0.51851851851851849</v>
      </c>
      <c r="O317">
        <f>IF(orders[[#This Row],[Delivery Date]]="","",(orders[[#This Row],[Delivery Date]]-orders[[#This Row],[Date]]))</f>
        <v>2</v>
      </c>
      <c r="P317" t="str">
        <f>IF(orders[[#This Row],[delivery days]]="","Not Delivered",IF(orders[[#This Row],[delivery days]]&lt;=2,"Fast",IF(orders[[#This Row],[delivery days]]&lt;=5,"Normal","Delayed")))</f>
        <v>Fast</v>
      </c>
    </row>
    <row r="318" spans="1:16" x14ac:dyDescent="0.25">
      <c r="A318" t="s">
        <v>453</v>
      </c>
      <c r="B318" s="5">
        <v>45777</v>
      </c>
      <c r="C318" t="s">
        <v>79</v>
      </c>
      <c r="D318" t="s">
        <v>33</v>
      </c>
      <c r="E318" t="s">
        <v>34</v>
      </c>
      <c r="F318">
        <v>1</v>
      </c>
      <c r="G318" s="1">
        <v>62.64</v>
      </c>
      <c r="H318" s="1">
        <v>25</v>
      </c>
      <c r="I318" s="5">
        <v>45783</v>
      </c>
      <c r="J318" t="s">
        <v>23</v>
      </c>
      <c r="K318" t="s">
        <v>24</v>
      </c>
      <c r="L318" t="s">
        <v>25</v>
      </c>
      <c r="M318" s="1">
        <f>(orders[[#This Row],[Revenue]]-orders[[#This Row],[Cost]])</f>
        <v>37.64</v>
      </c>
      <c r="N318" s="8">
        <f>IFERROR(orders[[#This Row],[profit]]/orders[[#This Row],[Revenue]],0)</f>
        <v>0.60089399744572158</v>
      </c>
      <c r="O318">
        <f>IF(orders[[#This Row],[Delivery Date]]="","",(orders[[#This Row],[Delivery Date]]-orders[[#This Row],[Date]]))</f>
        <v>6</v>
      </c>
      <c r="P318" t="str">
        <f>IF(orders[[#This Row],[delivery days]]="","Not Delivered",IF(orders[[#This Row],[delivery days]]&lt;=2,"Fast",IF(orders[[#This Row],[delivery days]]&lt;=5,"Normal","Delayed")))</f>
        <v>Delayed</v>
      </c>
    </row>
    <row r="319" spans="1:16" x14ac:dyDescent="0.25">
      <c r="A319" t="s">
        <v>454</v>
      </c>
      <c r="B319" s="5">
        <v>45778</v>
      </c>
      <c r="C319" t="s">
        <v>222</v>
      </c>
      <c r="D319" t="s">
        <v>146</v>
      </c>
      <c r="E319" t="s">
        <v>22</v>
      </c>
      <c r="F319">
        <v>2</v>
      </c>
      <c r="G319" s="1">
        <v>181.28</v>
      </c>
      <c r="H319" s="1">
        <v>90</v>
      </c>
      <c r="I319" s="5">
        <v>45780</v>
      </c>
      <c r="J319" t="s">
        <v>16</v>
      </c>
      <c r="K319" t="s">
        <v>35</v>
      </c>
      <c r="L319" t="s">
        <v>25</v>
      </c>
      <c r="M319" s="1">
        <f>(orders[[#This Row],[Revenue]]-orders[[#This Row],[Cost]])</f>
        <v>91.28</v>
      </c>
      <c r="N319" s="8">
        <f>IFERROR(orders[[#This Row],[profit]]/orders[[#This Row],[Revenue]],0)</f>
        <v>0.50353045013239184</v>
      </c>
      <c r="O319">
        <f>IF(orders[[#This Row],[Delivery Date]]="","",(orders[[#This Row],[Delivery Date]]-orders[[#This Row],[Date]]))</f>
        <v>2</v>
      </c>
      <c r="P319" t="str">
        <f>IF(orders[[#This Row],[delivery days]]="","Not Delivered",IF(orders[[#This Row],[delivery days]]&lt;=2,"Fast",IF(orders[[#This Row],[delivery days]]&lt;=5,"Normal","Delayed")))</f>
        <v>Fast</v>
      </c>
    </row>
    <row r="320" spans="1:16" x14ac:dyDescent="0.25">
      <c r="A320" t="s">
        <v>455</v>
      </c>
      <c r="B320" s="5">
        <v>45778</v>
      </c>
      <c r="C320" t="s">
        <v>121</v>
      </c>
      <c r="D320" t="s">
        <v>125</v>
      </c>
      <c r="E320" t="s">
        <v>62</v>
      </c>
      <c r="F320">
        <v>1</v>
      </c>
      <c r="G320" s="1">
        <v>149.35</v>
      </c>
      <c r="H320" s="1">
        <v>82</v>
      </c>
      <c r="I320" s="5">
        <v>45780</v>
      </c>
      <c r="J320" t="s">
        <v>30</v>
      </c>
      <c r="K320" t="s">
        <v>17</v>
      </c>
      <c r="L320" t="s">
        <v>25</v>
      </c>
      <c r="M320" s="1">
        <f>(orders[[#This Row],[Revenue]]-orders[[#This Row],[Cost]])</f>
        <v>67.349999999999994</v>
      </c>
      <c r="N320" s="8">
        <f>IFERROR(orders[[#This Row],[profit]]/orders[[#This Row],[Revenue]],0)</f>
        <v>0.45095413458319383</v>
      </c>
      <c r="O320">
        <f>IF(orders[[#This Row],[Delivery Date]]="","",(orders[[#This Row],[Delivery Date]]-orders[[#This Row],[Date]]))</f>
        <v>2</v>
      </c>
      <c r="P320" t="str">
        <f>IF(orders[[#This Row],[delivery days]]="","Not Delivered",IF(orders[[#This Row],[delivery days]]&lt;=2,"Fast",IF(orders[[#This Row],[delivery days]]&lt;=5,"Normal","Delayed")))</f>
        <v>Fast</v>
      </c>
    </row>
    <row r="321" spans="1:16" x14ac:dyDescent="0.25">
      <c r="A321" t="s">
        <v>456</v>
      </c>
      <c r="B321" s="5">
        <v>45779</v>
      </c>
      <c r="C321" t="s">
        <v>181</v>
      </c>
      <c r="D321" t="s">
        <v>177</v>
      </c>
      <c r="E321" t="s">
        <v>34</v>
      </c>
      <c r="F321">
        <v>1</v>
      </c>
      <c r="G321" s="1">
        <v>145</v>
      </c>
      <c r="H321" s="1">
        <v>76.44</v>
      </c>
      <c r="I321" s="5"/>
      <c r="J321" t="s">
        <v>16</v>
      </c>
      <c r="K321" t="s">
        <v>35</v>
      </c>
      <c r="L321" t="s">
        <v>42</v>
      </c>
      <c r="M321" s="1">
        <f>(orders[[#This Row],[Revenue]]-orders[[#This Row],[Cost]])</f>
        <v>68.56</v>
      </c>
      <c r="N321" s="8">
        <f>IFERROR(orders[[#This Row],[profit]]/orders[[#This Row],[Revenue]],0)</f>
        <v>0.47282758620689658</v>
      </c>
      <c r="O321" t="str">
        <f>IF(orders[[#This Row],[Delivery Date]]="","",(orders[[#This Row],[Delivery Date]]-orders[[#This Row],[Date]]))</f>
        <v/>
      </c>
      <c r="P321" t="str">
        <f>IF(orders[[#This Row],[delivery days]]="","Not Delivered",IF(orders[[#This Row],[delivery days]]&lt;=2,"Fast",IF(orders[[#This Row],[delivery days]]&lt;=5,"Normal","Delayed")))</f>
        <v>Not Delivered</v>
      </c>
    </row>
    <row r="322" spans="1:16" x14ac:dyDescent="0.25">
      <c r="A322" t="s">
        <v>457</v>
      </c>
      <c r="B322" s="5">
        <v>45779</v>
      </c>
      <c r="C322" t="s">
        <v>204</v>
      </c>
      <c r="D322" t="s">
        <v>266</v>
      </c>
      <c r="E322" t="s">
        <v>22</v>
      </c>
      <c r="F322">
        <v>1</v>
      </c>
      <c r="G322" s="1">
        <v>18</v>
      </c>
      <c r="H322" s="1">
        <v>7</v>
      </c>
      <c r="I322" s="5"/>
      <c r="J322" t="s">
        <v>23</v>
      </c>
      <c r="K322" t="s">
        <v>17</v>
      </c>
      <c r="L322" t="s">
        <v>103</v>
      </c>
      <c r="M322" s="1">
        <f>(orders[[#This Row],[Revenue]]-orders[[#This Row],[Cost]])</f>
        <v>11</v>
      </c>
      <c r="N322" s="8">
        <f>IFERROR(orders[[#This Row],[profit]]/orders[[#This Row],[Revenue]],0)</f>
        <v>0.61111111111111116</v>
      </c>
      <c r="O322" t="str">
        <f>IF(orders[[#This Row],[Delivery Date]]="","",(orders[[#This Row],[Delivery Date]]-orders[[#This Row],[Date]]))</f>
        <v/>
      </c>
      <c r="P322" t="str">
        <f>IF(orders[[#This Row],[delivery days]]="","Not Delivered",IF(orders[[#This Row],[delivery days]]&lt;=2,"Fast",IF(orders[[#This Row],[delivery days]]&lt;=5,"Normal","Delayed")))</f>
        <v>Not Delivered</v>
      </c>
    </row>
    <row r="323" spans="1:16" x14ac:dyDescent="0.25">
      <c r="A323" t="s">
        <v>458</v>
      </c>
      <c r="B323" s="5">
        <v>45779</v>
      </c>
      <c r="C323" t="s">
        <v>174</v>
      </c>
      <c r="D323" t="s">
        <v>150</v>
      </c>
      <c r="E323" t="s">
        <v>77</v>
      </c>
      <c r="F323">
        <v>2</v>
      </c>
      <c r="G323" s="1">
        <v>170</v>
      </c>
      <c r="H323" s="1">
        <v>88</v>
      </c>
      <c r="I323" s="5">
        <v>45782</v>
      </c>
      <c r="J323" t="s">
        <v>46</v>
      </c>
      <c r="K323" t="s">
        <v>47</v>
      </c>
      <c r="L323" t="s">
        <v>25</v>
      </c>
      <c r="M323" s="1">
        <f>(orders[[#This Row],[Revenue]]-orders[[#This Row],[Cost]])</f>
        <v>82</v>
      </c>
      <c r="N323" s="8">
        <f>IFERROR(orders[[#This Row],[profit]]/orders[[#This Row],[Revenue]],0)</f>
        <v>0.4823529411764706</v>
      </c>
      <c r="O323">
        <f>IF(orders[[#This Row],[Delivery Date]]="","",(orders[[#This Row],[Delivery Date]]-orders[[#This Row],[Date]]))</f>
        <v>3</v>
      </c>
      <c r="P323" t="str">
        <f>IF(orders[[#This Row],[delivery days]]="","Not Delivered",IF(orders[[#This Row],[delivery days]]&lt;=2,"Fast",IF(orders[[#This Row],[delivery days]]&lt;=5,"Normal","Delayed")))</f>
        <v>Normal</v>
      </c>
    </row>
    <row r="324" spans="1:16" x14ac:dyDescent="0.25">
      <c r="A324" t="s">
        <v>459</v>
      </c>
      <c r="B324" s="5">
        <v>45780</v>
      </c>
      <c r="C324" t="s">
        <v>191</v>
      </c>
      <c r="D324" t="s">
        <v>215</v>
      </c>
      <c r="E324" t="s">
        <v>62</v>
      </c>
      <c r="F324">
        <v>4</v>
      </c>
      <c r="G324" s="1">
        <v>880</v>
      </c>
      <c r="H324" s="1">
        <v>568</v>
      </c>
      <c r="I324" s="5">
        <v>45784</v>
      </c>
      <c r="J324" t="s">
        <v>30</v>
      </c>
      <c r="K324" t="s">
        <v>17</v>
      </c>
      <c r="L324" t="s">
        <v>25</v>
      </c>
      <c r="M324" s="1">
        <f>(orders[[#This Row],[Revenue]]-orders[[#This Row],[Cost]])</f>
        <v>312</v>
      </c>
      <c r="N324" s="8">
        <f>IFERROR(orders[[#This Row],[profit]]/orders[[#This Row],[Revenue]],0)</f>
        <v>0.35454545454545455</v>
      </c>
      <c r="O324">
        <f>IF(orders[[#This Row],[Delivery Date]]="","",(orders[[#This Row],[Delivery Date]]-orders[[#This Row],[Date]]))</f>
        <v>4</v>
      </c>
      <c r="P324" t="str">
        <f>IF(orders[[#This Row],[delivery days]]="","Not Delivered",IF(orders[[#This Row],[delivery days]]&lt;=2,"Fast",IF(orders[[#This Row],[delivery days]]&lt;=5,"Normal","Delayed")))</f>
        <v>Normal</v>
      </c>
    </row>
    <row r="325" spans="1:16" x14ac:dyDescent="0.25">
      <c r="A325" t="s">
        <v>460</v>
      </c>
      <c r="B325" s="5">
        <v>45780</v>
      </c>
      <c r="C325" t="s">
        <v>278</v>
      </c>
      <c r="D325" t="s">
        <v>110</v>
      </c>
      <c r="E325" t="s">
        <v>39</v>
      </c>
      <c r="F325">
        <v>2</v>
      </c>
      <c r="G325" s="1">
        <v>432.6</v>
      </c>
      <c r="H325" s="1">
        <v>250</v>
      </c>
      <c r="I325" s="5">
        <v>45781</v>
      </c>
      <c r="J325" t="s">
        <v>30</v>
      </c>
      <c r="K325" t="s">
        <v>35</v>
      </c>
      <c r="L325" t="s">
        <v>25</v>
      </c>
      <c r="M325" s="1">
        <f>(orders[[#This Row],[Revenue]]-orders[[#This Row],[Cost]])</f>
        <v>182.60000000000002</v>
      </c>
      <c r="N325" s="8">
        <f>IFERROR(orders[[#This Row],[profit]]/orders[[#This Row],[Revenue]],0)</f>
        <v>0.42209893666204351</v>
      </c>
      <c r="O325">
        <f>IF(orders[[#This Row],[Delivery Date]]="","",(orders[[#This Row],[Delivery Date]]-orders[[#This Row],[Date]]))</f>
        <v>1</v>
      </c>
      <c r="P325" t="str">
        <f>IF(orders[[#This Row],[delivery days]]="","Not Delivered",IF(orders[[#This Row],[delivery days]]&lt;=2,"Fast",IF(orders[[#This Row],[delivery days]]&lt;=5,"Normal","Delayed")))</f>
        <v>Fast</v>
      </c>
    </row>
    <row r="326" spans="1:16" x14ac:dyDescent="0.25">
      <c r="A326" t="s">
        <v>461</v>
      </c>
      <c r="B326" s="5">
        <v>45780</v>
      </c>
      <c r="C326" t="s">
        <v>149</v>
      </c>
      <c r="D326" t="s">
        <v>65</v>
      </c>
      <c r="E326" t="s">
        <v>62</v>
      </c>
      <c r="F326">
        <v>4</v>
      </c>
      <c r="G326" s="1">
        <v>186.24</v>
      </c>
      <c r="H326" s="1">
        <v>85.68</v>
      </c>
      <c r="I326" s="5">
        <v>45782</v>
      </c>
      <c r="J326" t="s">
        <v>30</v>
      </c>
      <c r="K326" t="s">
        <v>17</v>
      </c>
      <c r="L326" t="s">
        <v>25</v>
      </c>
      <c r="M326" s="1">
        <f>(orders[[#This Row],[Revenue]]-orders[[#This Row],[Cost]])</f>
        <v>100.56</v>
      </c>
      <c r="N326" s="8">
        <f>IFERROR(orders[[#This Row],[profit]]/orders[[#This Row],[Revenue]],0)</f>
        <v>0.53994845360824739</v>
      </c>
      <c r="O326">
        <f>IF(orders[[#This Row],[Delivery Date]]="","",(orders[[#This Row],[Delivery Date]]-orders[[#This Row],[Date]]))</f>
        <v>2</v>
      </c>
      <c r="P326" t="str">
        <f>IF(orders[[#This Row],[delivery days]]="","Not Delivered",IF(orders[[#This Row],[delivery days]]&lt;=2,"Fast",IF(orders[[#This Row],[delivery days]]&lt;=5,"Normal","Delayed")))</f>
        <v>Fast</v>
      </c>
    </row>
    <row r="327" spans="1:16" x14ac:dyDescent="0.25">
      <c r="A327" t="s">
        <v>462</v>
      </c>
      <c r="B327" s="5">
        <v>45780</v>
      </c>
      <c r="C327" t="s">
        <v>137</v>
      </c>
      <c r="D327" t="s">
        <v>110</v>
      </c>
      <c r="E327" t="s">
        <v>39</v>
      </c>
      <c r="F327">
        <v>2</v>
      </c>
      <c r="G327" s="1">
        <v>432.6</v>
      </c>
      <c r="H327" s="1">
        <v>245</v>
      </c>
      <c r="I327" s="5">
        <v>45781</v>
      </c>
      <c r="J327" t="s">
        <v>30</v>
      </c>
      <c r="K327" t="s">
        <v>35</v>
      </c>
      <c r="L327" t="s">
        <v>25</v>
      </c>
      <c r="M327" s="1">
        <f>(orders[[#This Row],[Revenue]]-orders[[#This Row],[Cost]])</f>
        <v>187.60000000000002</v>
      </c>
      <c r="N327" s="8">
        <f>IFERROR(orders[[#This Row],[profit]]/orders[[#This Row],[Revenue]],0)</f>
        <v>0.4336569579288026</v>
      </c>
      <c r="O327">
        <f>IF(orders[[#This Row],[Delivery Date]]="","",(orders[[#This Row],[Delivery Date]]-orders[[#This Row],[Date]]))</f>
        <v>1</v>
      </c>
      <c r="P327" t="str">
        <f>IF(orders[[#This Row],[delivery days]]="","Not Delivered",IF(orders[[#This Row],[delivery days]]&lt;=2,"Fast",IF(orders[[#This Row],[delivery days]]&lt;=5,"Normal","Delayed")))</f>
        <v>Fast</v>
      </c>
    </row>
    <row r="328" spans="1:16" x14ac:dyDescent="0.25">
      <c r="A328" t="s">
        <v>463</v>
      </c>
      <c r="B328" s="5">
        <v>45781</v>
      </c>
      <c r="C328" t="s">
        <v>60</v>
      </c>
      <c r="D328" t="s">
        <v>300</v>
      </c>
      <c r="E328" t="s">
        <v>77</v>
      </c>
      <c r="F328">
        <v>2</v>
      </c>
      <c r="G328" s="1">
        <v>717.6</v>
      </c>
      <c r="H328" s="1">
        <v>480.2</v>
      </c>
      <c r="I328" s="5">
        <v>45784</v>
      </c>
      <c r="J328" t="s">
        <v>16</v>
      </c>
      <c r="K328" t="s">
        <v>35</v>
      </c>
      <c r="L328" t="s">
        <v>25</v>
      </c>
      <c r="M328" s="1">
        <f>(orders[[#This Row],[Revenue]]-orders[[#This Row],[Cost]])</f>
        <v>237.40000000000003</v>
      </c>
      <c r="N328" s="8">
        <f>IFERROR(orders[[#This Row],[profit]]/orders[[#This Row],[Revenue]],0)</f>
        <v>0.33082497212931999</v>
      </c>
      <c r="O328">
        <f>IF(orders[[#This Row],[Delivery Date]]="","",(orders[[#This Row],[Delivery Date]]-orders[[#This Row],[Date]]))</f>
        <v>3</v>
      </c>
      <c r="P328" t="str">
        <f>IF(orders[[#This Row],[delivery days]]="","Not Delivered",IF(orders[[#This Row],[delivery days]]&lt;=2,"Fast",IF(orders[[#This Row],[delivery days]]&lt;=5,"Normal","Delayed")))</f>
        <v>Normal</v>
      </c>
    </row>
    <row r="329" spans="1:16" x14ac:dyDescent="0.25">
      <c r="A329" t="s">
        <v>464</v>
      </c>
      <c r="B329" s="5">
        <v>45781</v>
      </c>
      <c r="C329" t="s">
        <v>155</v>
      </c>
      <c r="D329" t="s">
        <v>219</v>
      </c>
      <c r="E329" t="s">
        <v>34</v>
      </c>
      <c r="F329">
        <v>4</v>
      </c>
      <c r="G329" s="1">
        <v>112</v>
      </c>
      <c r="H329" s="1">
        <v>44</v>
      </c>
      <c r="I329" s="5">
        <v>45783</v>
      </c>
      <c r="J329" t="s">
        <v>30</v>
      </c>
      <c r="K329" t="s">
        <v>17</v>
      </c>
      <c r="L329" t="s">
        <v>25</v>
      </c>
      <c r="M329" s="1">
        <f>(orders[[#This Row],[Revenue]]-orders[[#This Row],[Cost]])</f>
        <v>68</v>
      </c>
      <c r="N329" s="8">
        <f>IFERROR(orders[[#This Row],[profit]]/orders[[#This Row],[Revenue]],0)</f>
        <v>0.6071428571428571</v>
      </c>
      <c r="O329">
        <f>IF(orders[[#This Row],[Delivery Date]]="","",(orders[[#This Row],[Delivery Date]]-orders[[#This Row],[Date]]))</f>
        <v>2</v>
      </c>
      <c r="P329" t="str">
        <f>IF(orders[[#This Row],[delivery days]]="","Not Delivered",IF(orders[[#This Row],[delivery days]]&lt;=2,"Fast",IF(orders[[#This Row],[delivery days]]&lt;=5,"Normal","Delayed")))</f>
        <v>Fast</v>
      </c>
    </row>
    <row r="330" spans="1:16" x14ac:dyDescent="0.25">
      <c r="A330" t="s">
        <v>465</v>
      </c>
      <c r="B330" s="5">
        <v>45781</v>
      </c>
      <c r="C330" t="s">
        <v>228</v>
      </c>
      <c r="D330" t="s">
        <v>86</v>
      </c>
      <c r="E330" t="s">
        <v>29</v>
      </c>
      <c r="F330">
        <v>1</v>
      </c>
      <c r="G330" s="1">
        <v>26.68</v>
      </c>
      <c r="H330" s="1">
        <v>12</v>
      </c>
      <c r="I330" s="5">
        <v>45783</v>
      </c>
      <c r="J330" t="s">
        <v>46</v>
      </c>
      <c r="K330" t="s">
        <v>47</v>
      </c>
      <c r="L330" t="s">
        <v>25</v>
      </c>
      <c r="M330" s="1">
        <f>(orders[[#This Row],[Revenue]]-orders[[#This Row],[Cost]])</f>
        <v>14.68</v>
      </c>
      <c r="N330" s="8">
        <f>IFERROR(orders[[#This Row],[profit]]/orders[[#This Row],[Revenue]],0)</f>
        <v>0.5502248875562219</v>
      </c>
      <c r="O330">
        <f>IF(orders[[#This Row],[Delivery Date]]="","",(orders[[#This Row],[Delivery Date]]-orders[[#This Row],[Date]]))</f>
        <v>2</v>
      </c>
      <c r="P330" t="str">
        <f>IF(orders[[#This Row],[delivery days]]="","Not Delivered",IF(orders[[#This Row],[delivery days]]&lt;=2,"Fast",IF(orders[[#This Row],[delivery days]]&lt;=5,"Normal","Delayed")))</f>
        <v>Fast</v>
      </c>
    </row>
    <row r="331" spans="1:16" x14ac:dyDescent="0.25">
      <c r="A331" t="s">
        <v>466</v>
      </c>
      <c r="B331" s="5">
        <v>45781</v>
      </c>
      <c r="C331" t="s">
        <v>54</v>
      </c>
      <c r="D331" t="s">
        <v>219</v>
      </c>
      <c r="E331" t="s">
        <v>34</v>
      </c>
      <c r="F331">
        <v>1</v>
      </c>
      <c r="G331" s="1">
        <v>28.84</v>
      </c>
      <c r="H331" s="1">
        <v>11.22</v>
      </c>
      <c r="I331" s="5">
        <v>45783</v>
      </c>
      <c r="J331" t="s">
        <v>46</v>
      </c>
      <c r="K331" t="s">
        <v>47</v>
      </c>
      <c r="L331" t="s">
        <v>25</v>
      </c>
      <c r="M331" s="1">
        <f>(orders[[#This Row],[Revenue]]-orders[[#This Row],[Cost]])</f>
        <v>17.619999999999997</v>
      </c>
      <c r="N331" s="8">
        <f>IFERROR(orders[[#This Row],[profit]]/orders[[#This Row],[Revenue]],0)</f>
        <v>0.61095700416088761</v>
      </c>
      <c r="O331">
        <f>IF(orders[[#This Row],[Delivery Date]]="","",(orders[[#This Row],[Delivery Date]]-orders[[#This Row],[Date]]))</f>
        <v>2</v>
      </c>
      <c r="P331" t="str">
        <f>IF(orders[[#This Row],[delivery days]]="","Not Delivered",IF(orders[[#This Row],[delivery days]]&lt;=2,"Fast",IF(orders[[#This Row],[delivery days]]&lt;=5,"Normal","Delayed")))</f>
        <v>Fast</v>
      </c>
    </row>
    <row r="332" spans="1:16" x14ac:dyDescent="0.25">
      <c r="A332" t="s">
        <v>467</v>
      </c>
      <c r="B332" s="5">
        <v>45782</v>
      </c>
      <c r="C332" t="s">
        <v>316</v>
      </c>
      <c r="D332" t="s">
        <v>86</v>
      </c>
      <c r="E332" t="s">
        <v>29</v>
      </c>
      <c r="F332">
        <v>2</v>
      </c>
      <c r="G332" s="1">
        <v>58</v>
      </c>
      <c r="H332" s="1">
        <v>24</v>
      </c>
      <c r="I332" s="5">
        <v>45786</v>
      </c>
      <c r="J332" t="s">
        <v>101</v>
      </c>
      <c r="K332" t="s">
        <v>35</v>
      </c>
      <c r="L332" t="s">
        <v>18</v>
      </c>
      <c r="M332" s="1">
        <f>(orders[[#This Row],[Revenue]]-orders[[#This Row],[Cost]])</f>
        <v>34</v>
      </c>
      <c r="N332" s="8">
        <f>IFERROR(orders[[#This Row],[profit]]/orders[[#This Row],[Revenue]],0)</f>
        <v>0.58620689655172409</v>
      </c>
      <c r="O332">
        <f>IF(orders[[#This Row],[Delivery Date]]="","",(orders[[#This Row],[Delivery Date]]-orders[[#This Row],[Date]]))</f>
        <v>4</v>
      </c>
      <c r="P332" t="str">
        <f>IF(orders[[#This Row],[delivery days]]="","Not Delivered",IF(orders[[#This Row],[delivery days]]&lt;=2,"Fast",IF(orders[[#This Row],[delivery days]]&lt;=5,"Normal","Delayed")))</f>
        <v>Normal</v>
      </c>
    </row>
    <row r="333" spans="1:16" x14ac:dyDescent="0.25">
      <c r="A333" t="s">
        <v>468</v>
      </c>
      <c r="B333" s="5">
        <v>45783</v>
      </c>
      <c r="C333" t="s">
        <v>49</v>
      </c>
      <c r="D333" t="s">
        <v>58</v>
      </c>
      <c r="E333" t="s">
        <v>39</v>
      </c>
      <c r="F333">
        <v>1</v>
      </c>
      <c r="G333" s="1">
        <v>1250</v>
      </c>
      <c r="H333" s="1">
        <v>900</v>
      </c>
      <c r="I333" s="5">
        <v>45786</v>
      </c>
      <c r="J333" t="s">
        <v>46</v>
      </c>
      <c r="K333" t="s">
        <v>47</v>
      </c>
      <c r="L333" t="s">
        <v>18</v>
      </c>
      <c r="M333" s="1">
        <f>(orders[[#This Row],[Revenue]]-orders[[#This Row],[Cost]])</f>
        <v>350</v>
      </c>
      <c r="N333" s="8">
        <f>IFERROR(orders[[#This Row],[profit]]/orders[[#This Row],[Revenue]],0)</f>
        <v>0.28000000000000003</v>
      </c>
      <c r="O333">
        <f>IF(orders[[#This Row],[Delivery Date]]="","",(orders[[#This Row],[Delivery Date]]-orders[[#This Row],[Date]]))</f>
        <v>3</v>
      </c>
      <c r="P333" t="str">
        <f>IF(orders[[#This Row],[delivery days]]="","Not Delivered",IF(orders[[#This Row],[delivery days]]&lt;=2,"Fast",IF(orders[[#This Row],[delivery days]]&lt;=5,"Normal","Delayed")))</f>
        <v>Normal</v>
      </c>
    </row>
    <row r="334" spans="1:16" x14ac:dyDescent="0.25">
      <c r="A334" t="s">
        <v>469</v>
      </c>
      <c r="B334" s="5">
        <v>45783</v>
      </c>
      <c r="C334" t="s">
        <v>20</v>
      </c>
      <c r="D334" t="s">
        <v>100</v>
      </c>
      <c r="E334" t="s">
        <v>34</v>
      </c>
      <c r="F334">
        <v>3</v>
      </c>
      <c r="G334" s="1">
        <v>156</v>
      </c>
      <c r="H334" s="1">
        <v>69</v>
      </c>
      <c r="I334" s="5"/>
      <c r="J334" t="s">
        <v>52</v>
      </c>
      <c r="K334" t="s">
        <v>47</v>
      </c>
      <c r="L334" t="s">
        <v>42</v>
      </c>
      <c r="M334" s="1">
        <f>(orders[[#This Row],[Revenue]]-orders[[#This Row],[Cost]])</f>
        <v>87</v>
      </c>
      <c r="N334" s="8">
        <f>IFERROR(orders[[#This Row],[profit]]/orders[[#This Row],[Revenue]],0)</f>
        <v>0.55769230769230771</v>
      </c>
      <c r="O334" t="str">
        <f>IF(orders[[#This Row],[Delivery Date]]="","",(orders[[#This Row],[Delivery Date]]-orders[[#This Row],[Date]]))</f>
        <v/>
      </c>
      <c r="P334" t="str">
        <f>IF(orders[[#This Row],[delivery days]]="","Not Delivered",IF(orders[[#This Row],[delivery days]]&lt;=2,"Fast",IF(orders[[#This Row],[delivery days]]&lt;=5,"Normal","Delayed")))</f>
        <v>Not Delivered</v>
      </c>
    </row>
    <row r="335" spans="1:16" x14ac:dyDescent="0.25">
      <c r="A335" t="s">
        <v>470</v>
      </c>
      <c r="B335" s="5">
        <v>45784</v>
      </c>
      <c r="C335" t="s">
        <v>200</v>
      </c>
      <c r="D335" t="s">
        <v>308</v>
      </c>
      <c r="E335" t="s">
        <v>22</v>
      </c>
      <c r="F335">
        <v>1</v>
      </c>
      <c r="G335" s="1">
        <v>81</v>
      </c>
      <c r="H335" s="1">
        <v>34</v>
      </c>
      <c r="I335" s="5"/>
      <c r="J335" t="s">
        <v>30</v>
      </c>
      <c r="K335" t="s">
        <v>17</v>
      </c>
      <c r="L335" t="s">
        <v>103</v>
      </c>
      <c r="M335" s="1">
        <f>(orders[[#This Row],[Revenue]]-orders[[#This Row],[Cost]])</f>
        <v>47</v>
      </c>
      <c r="N335" s="8">
        <f>IFERROR(orders[[#This Row],[profit]]/orders[[#This Row],[Revenue]],0)</f>
        <v>0.58024691358024694</v>
      </c>
      <c r="O335" t="str">
        <f>IF(orders[[#This Row],[Delivery Date]]="","",(orders[[#This Row],[Delivery Date]]-orders[[#This Row],[Date]]))</f>
        <v/>
      </c>
      <c r="P335" t="str">
        <f>IF(orders[[#This Row],[delivery days]]="","Not Delivered",IF(orders[[#This Row],[delivery days]]&lt;=2,"Fast",IF(orders[[#This Row],[delivery days]]&lt;=5,"Normal","Delayed")))</f>
        <v>Not Delivered</v>
      </c>
    </row>
    <row r="336" spans="1:16" x14ac:dyDescent="0.25">
      <c r="A336" t="s">
        <v>471</v>
      </c>
      <c r="B336" s="5">
        <v>45785</v>
      </c>
      <c r="C336" t="s">
        <v>82</v>
      </c>
      <c r="D336" t="s">
        <v>33</v>
      </c>
      <c r="E336" t="s">
        <v>34</v>
      </c>
      <c r="F336">
        <v>1</v>
      </c>
      <c r="G336" s="1">
        <v>58</v>
      </c>
      <c r="H336" s="1">
        <v>25</v>
      </c>
      <c r="I336" s="5">
        <v>45788</v>
      </c>
      <c r="J336" t="s">
        <v>46</v>
      </c>
      <c r="K336" t="s">
        <v>24</v>
      </c>
      <c r="L336" t="s">
        <v>25</v>
      </c>
      <c r="M336" s="1">
        <f>(orders[[#This Row],[Revenue]]-orders[[#This Row],[Cost]])</f>
        <v>33</v>
      </c>
      <c r="N336" s="8">
        <f>IFERROR(orders[[#This Row],[profit]]/orders[[#This Row],[Revenue]],0)</f>
        <v>0.56896551724137934</v>
      </c>
      <c r="O336">
        <f>IF(orders[[#This Row],[Delivery Date]]="","",(orders[[#This Row],[Delivery Date]]-orders[[#This Row],[Date]]))</f>
        <v>3</v>
      </c>
      <c r="P336" t="str">
        <f>IF(orders[[#This Row],[delivery days]]="","Not Delivered",IF(orders[[#This Row],[delivery days]]&lt;=2,"Fast",IF(orders[[#This Row],[delivery days]]&lt;=5,"Normal","Delayed")))</f>
        <v>Normal</v>
      </c>
    </row>
    <row r="337" spans="1:16" x14ac:dyDescent="0.25">
      <c r="A337" t="s">
        <v>472</v>
      </c>
      <c r="B337" s="5">
        <v>45785</v>
      </c>
      <c r="C337" t="s">
        <v>92</v>
      </c>
      <c r="D337" t="s">
        <v>308</v>
      </c>
      <c r="E337" t="s">
        <v>22</v>
      </c>
      <c r="F337">
        <v>2</v>
      </c>
      <c r="G337" s="1">
        <v>150</v>
      </c>
      <c r="H337" s="1">
        <v>68</v>
      </c>
      <c r="I337" s="5"/>
      <c r="J337" t="s">
        <v>30</v>
      </c>
      <c r="K337" t="s">
        <v>35</v>
      </c>
      <c r="L337" t="s">
        <v>103</v>
      </c>
      <c r="M337" s="1">
        <f>(orders[[#This Row],[Revenue]]-orders[[#This Row],[Cost]])</f>
        <v>82</v>
      </c>
      <c r="N337" s="8">
        <f>IFERROR(orders[[#This Row],[profit]]/orders[[#This Row],[Revenue]],0)</f>
        <v>0.54666666666666663</v>
      </c>
      <c r="O337" t="str">
        <f>IF(orders[[#This Row],[Delivery Date]]="","",(orders[[#This Row],[Delivery Date]]-orders[[#This Row],[Date]]))</f>
        <v/>
      </c>
      <c r="P337" t="str">
        <f>IF(orders[[#This Row],[delivery days]]="","Not Delivered",IF(orders[[#This Row],[delivery days]]&lt;=2,"Fast",IF(orders[[#This Row],[delivery days]]&lt;=5,"Normal","Delayed")))</f>
        <v>Not Delivered</v>
      </c>
    </row>
    <row r="338" spans="1:16" x14ac:dyDescent="0.25">
      <c r="A338" t="s">
        <v>473</v>
      </c>
      <c r="B338" s="5">
        <v>45785</v>
      </c>
      <c r="C338" t="s">
        <v>64</v>
      </c>
      <c r="D338" t="s">
        <v>235</v>
      </c>
      <c r="E338" t="s">
        <v>15</v>
      </c>
      <c r="F338">
        <v>2</v>
      </c>
      <c r="G338" s="1">
        <v>130</v>
      </c>
      <c r="H338" s="1">
        <v>62</v>
      </c>
      <c r="I338" s="5">
        <v>45789</v>
      </c>
      <c r="J338" t="s">
        <v>101</v>
      </c>
      <c r="K338" t="s">
        <v>47</v>
      </c>
      <c r="L338" t="s">
        <v>25</v>
      </c>
      <c r="M338" s="1">
        <f>(orders[[#This Row],[Revenue]]-orders[[#This Row],[Cost]])</f>
        <v>68</v>
      </c>
      <c r="N338" s="8">
        <f>IFERROR(orders[[#This Row],[profit]]/orders[[#This Row],[Revenue]],0)</f>
        <v>0.52307692307692311</v>
      </c>
      <c r="O338">
        <f>IF(orders[[#This Row],[Delivery Date]]="","",(orders[[#This Row],[Delivery Date]]-orders[[#This Row],[Date]]))</f>
        <v>4</v>
      </c>
      <c r="P338" t="str">
        <f>IF(orders[[#This Row],[delivery days]]="","Not Delivered",IF(orders[[#This Row],[delivery days]]&lt;=2,"Fast",IF(orders[[#This Row],[delivery days]]&lt;=5,"Normal","Delayed")))</f>
        <v>Normal</v>
      </c>
    </row>
    <row r="339" spans="1:16" x14ac:dyDescent="0.25">
      <c r="A339" t="s">
        <v>474</v>
      </c>
      <c r="B339" s="5">
        <v>45786</v>
      </c>
      <c r="C339" t="s">
        <v>217</v>
      </c>
      <c r="D339" t="s">
        <v>61</v>
      </c>
      <c r="E339" t="s">
        <v>62</v>
      </c>
      <c r="F339">
        <v>3</v>
      </c>
      <c r="G339" s="1">
        <v>98.88</v>
      </c>
      <c r="H339" s="1">
        <v>42</v>
      </c>
      <c r="I339" s="5">
        <v>45792</v>
      </c>
      <c r="J339" t="s">
        <v>101</v>
      </c>
      <c r="K339" t="s">
        <v>47</v>
      </c>
      <c r="L339" t="s">
        <v>25</v>
      </c>
      <c r="M339" s="1">
        <f>(orders[[#This Row],[Revenue]]-orders[[#This Row],[Cost]])</f>
        <v>56.879999999999995</v>
      </c>
      <c r="N339" s="8">
        <f>IFERROR(orders[[#This Row],[profit]]/orders[[#This Row],[Revenue]],0)</f>
        <v>0.57524271844660191</v>
      </c>
      <c r="O339">
        <f>IF(orders[[#This Row],[Delivery Date]]="","",(orders[[#This Row],[Delivery Date]]-orders[[#This Row],[Date]]))</f>
        <v>6</v>
      </c>
      <c r="P339" t="str">
        <f>IF(orders[[#This Row],[delivery days]]="","Not Delivered",IF(orders[[#This Row],[delivery days]]&lt;=2,"Fast",IF(orders[[#This Row],[delivery days]]&lt;=5,"Normal","Delayed")))</f>
        <v>Delayed</v>
      </c>
    </row>
    <row r="340" spans="1:16" x14ac:dyDescent="0.25">
      <c r="A340" t="s">
        <v>475</v>
      </c>
      <c r="B340" s="5">
        <v>45787</v>
      </c>
      <c r="C340" t="s">
        <v>217</v>
      </c>
      <c r="D340" t="s">
        <v>108</v>
      </c>
      <c r="E340" t="s">
        <v>22</v>
      </c>
      <c r="F340">
        <v>1</v>
      </c>
      <c r="G340" s="1">
        <v>97.85</v>
      </c>
      <c r="H340" s="1">
        <v>42</v>
      </c>
      <c r="I340" s="5">
        <v>45790</v>
      </c>
      <c r="J340" t="s">
        <v>30</v>
      </c>
      <c r="K340" t="s">
        <v>17</v>
      </c>
      <c r="L340" t="s">
        <v>25</v>
      </c>
      <c r="M340" s="1">
        <f>(orders[[#This Row],[Revenue]]-orders[[#This Row],[Cost]])</f>
        <v>55.849999999999994</v>
      </c>
      <c r="N340" s="8">
        <f>IFERROR(orders[[#This Row],[profit]]/orders[[#This Row],[Revenue]],0)</f>
        <v>0.57077158916709247</v>
      </c>
      <c r="O340">
        <f>IF(orders[[#This Row],[Delivery Date]]="","",(orders[[#This Row],[Delivery Date]]-orders[[#This Row],[Date]]))</f>
        <v>3</v>
      </c>
      <c r="P340" t="str">
        <f>IF(orders[[#This Row],[delivery days]]="","Not Delivered",IF(orders[[#This Row],[delivery days]]&lt;=2,"Fast",IF(orders[[#This Row],[delivery days]]&lt;=5,"Normal","Delayed")))</f>
        <v>Normal</v>
      </c>
    </row>
    <row r="341" spans="1:16" x14ac:dyDescent="0.25">
      <c r="A341" t="s">
        <v>476</v>
      </c>
      <c r="B341" s="5">
        <v>45787</v>
      </c>
      <c r="C341" t="s">
        <v>92</v>
      </c>
      <c r="D341" t="s">
        <v>65</v>
      </c>
      <c r="E341" t="s">
        <v>62</v>
      </c>
      <c r="F341">
        <v>1</v>
      </c>
      <c r="G341" s="1">
        <v>48</v>
      </c>
      <c r="H341" s="1">
        <v>21</v>
      </c>
      <c r="I341" s="5">
        <v>45789</v>
      </c>
      <c r="J341" t="s">
        <v>30</v>
      </c>
      <c r="K341" t="s">
        <v>17</v>
      </c>
      <c r="L341" t="s">
        <v>25</v>
      </c>
      <c r="M341" s="1">
        <f>(orders[[#This Row],[Revenue]]-orders[[#This Row],[Cost]])</f>
        <v>27</v>
      </c>
      <c r="N341" s="8">
        <f>IFERROR(orders[[#This Row],[profit]]/orders[[#This Row],[Revenue]],0)</f>
        <v>0.5625</v>
      </c>
      <c r="O341">
        <f>IF(orders[[#This Row],[Delivery Date]]="","",(orders[[#This Row],[Delivery Date]]-orders[[#This Row],[Date]]))</f>
        <v>2</v>
      </c>
      <c r="P341" t="str">
        <f>IF(orders[[#This Row],[delivery days]]="","Not Delivered",IF(orders[[#This Row],[delivery days]]&lt;=2,"Fast",IF(orders[[#This Row],[delivery days]]&lt;=5,"Normal","Delayed")))</f>
        <v>Fast</v>
      </c>
    </row>
    <row r="342" spans="1:16" x14ac:dyDescent="0.25">
      <c r="A342" t="s">
        <v>477</v>
      </c>
      <c r="B342" s="5">
        <v>45787</v>
      </c>
      <c r="C342" t="s">
        <v>37</v>
      </c>
      <c r="D342" t="s">
        <v>61</v>
      </c>
      <c r="E342" t="s">
        <v>62</v>
      </c>
      <c r="F342">
        <v>1</v>
      </c>
      <c r="G342" s="1">
        <v>32</v>
      </c>
      <c r="H342" s="1">
        <v>14</v>
      </c>
      <c r="I342" s="5">
        <v>45789</v>
      </c>
      <c r="J342" t="s">
        <v>101</v>
      </c>
      <c r="K342" t="s">
        <v>47</v>
      </c>
      <c r="L342" t="s">
        <v>25</v>
      </c>
      <c r="M342" s="1">
        <f>(orders[[#This Row],[Revenue]]-orders[[#This Row],[Cost]])</f>
        <v>18</v>
      </c>
      <c r="N342" s="8">
        <f>IFERROR(orders[[#This Row],[profit]]/orders[[#This Row],[Revenue]],0)</f>
        <v>0.5625</v>
      </c>
      <c r="O342">
        <f>IF(orders[[#This Row],[Delivery Date]]="","",(orders[[#This Row],[Delivery Date]]-orders[[#This Row],[Date]]))</f>
        <v>2</v>
      </c>
      <c r="P342" t="str">
        <f>IF(orders[[#This Row],[delivery days]]="","Not Delivered",IF(orders[[#This Row],[delivery days]]&lt;=2,"Fast",IF(orders[[#This Row],[delivery days]]&lt;=5,"Normal","Delayed")))</f>
        <v>Fast</v>
      </c>
    </row>
    <row r="343" spans="1:16" x14ac:dyDescent="0.25">
      <c r="A343" t="s">
        <v>478</v>
      </c>
      <c r="B343" s="5">
        <v>45788</v>
      </c>
      <c r="C343" t="s">
        <v>195</v>
      </c>
      <c r="D343" t="s">
        <v>21</v>
      </c>
      <c r="E343" t="s">
        <v>22</v>
      </c>
      <c r="F343">
        <v>1</v>
      </c>
      <c r="G343" s="1">
        <v>32</v>
      </c>
      <c r="H343" s="1">
        <v>13</v>
      </c>
      <c r="I343" s="5">
        <v>45790</v>
      </c>
      <c r="J343" t="s">
        <v>52</v>
      </c>
      <c r="K343" t="s">
        <v>47</v>
      </c>
      <c r="L343" t="s">
        <v>25</v>
      </c>
      <c r="M343" s="1">
        <f>(orders[[#This Row],[Revenue]]-orders[[#This Row],[Cost]])</f>
        <v>19</v>
      </c>
      <c r="N343" s="8">
        <f>IFERROR(orders[[#This Row],[profit]]/orders[[#This Row],[Revenue]],0)</f>
        <v>0.59375</v>
      </c>
      <c r="O343">
        <f>IF(orders[[#This Row],[Delivery Date]]="","",(orders[[#This Row],[Delivery Date]]-orders[[#This Row],[Date]]))</f>
        <v>2</v>
      </c>
      <c r="P343" t="str">
        <f>IF(orders[[#This Row],[delivery days]]="","Not Delivered",IF(orders[[#This Row],[delivery days]]&lt;=2,"Fast",IF(orders[[#This Row],[delivery days]]&lt;=5,"Normal","Delayed")))</f>
        <v>Fast</v>
      </c>
    </row>
    <row r="344" spans="1:16" x14ac:dyDescent="0.25">
      <c r="A344" t="s">
        <v>479</v>
      </c>
      <c r="B344" s="5">
        <v>45788</v>
      </c>
      <c r="C344" t="s">
        <v>20</v>
      </c>
      <c r="D344" t="s">
        <v>38</v>
      </c>
      <c r="E344" t="s">
        <v>39</v>
      </c>
      <c r="F344">
        <v>2</v>
      </c>
      <c r="G344" s="1">
        <v>1564</v>
      </c>
      <c r="H344" s="1">
        <v>1195.5999999999999</v>
      </c>
      <c r="I344" s="5">
        <v>45792</v>
      </c>
      <c r="J344" t="s">
        <v>30</v>
      </c>
      <c r="K344" t="s">
        <v>17</v>
      </c>
      <c r="L344" t="s">
        <v>25</v>
      </c>
      <c r="M344" s="1">
        <f>(orders[[#This Row],[Revenue]]-orders[[#This Row],[Cost]])</f>
        <v>368.40000000000009</v>
      </c>
      <c r="N344" s="8">
        <f>IFERROR(orders[[#This Row],[profit]]/orders[[#This Row],[Revenue]],0)</f>
        <v>0.23554987212276221</v>
      </c>
      <c r="O344">
        <f>IF(orders[[#This Row],[Delivery Date]]="","",(orders[[#This Row],[Delivery Date]]-orders[[#This Row],[Date]]))</f>
        <v>4</v>
      </c>
      <c r="P344" t="str">
        <f>IF(orders[[#This Row],[delivery days]]="","Not Delivered",IF(orders[[#This Row],[delivery days]]&lt;=2,"Fast",IF(orders[[#This Row],[delivery days]]&lt;=5,"Normal","Delayed")))</f>
        <v>Normal</v>
      </c>
    </row>
    <row r="345" spans="1:16" x14ac:dyDescent="0.25">
      <c r="A345" t="s">
        <v>480</v>
      </c>
      <c r="B345" s="5">
        <v>45789</v>
      </c>
      <c r="C345" t="s">
        <v>228</v>
      </c>
      <c r="D345" t="s">
        <v>208</v>
      </c>
      <c r="E345" t="s">
        <v>15</v>
      </c>
      <c r="F345">
        <v>2</v>
      </c>
      <c r="G345" s="1">
        <v>267.8</v>
      </c>
      <c r="H345" s="1">
        <v>152</v>
      </c>
      <c r="I345" s="5">
        <v>45791</v>
      </c>
      <c r="J345" t="s">
        <v>101</v>
      </c>
      <c r="K345" t="s">
        <v>35</v>
      </c>
      <c r="L345" t="s">
        <v>25</v>
      </c>
      <c r="M345" s="1">
        <f>(orders[[#This Row],[Revenue]]-orders[[#This Row],[Cost]])</f>
        <v>115.80000000000001</v>
      </c>
      <c r="N345" s="8">
        <f>IFERROR(orders[[#This Row],[profit]]/orders[[#This Row],[Revenue]],0)</f>
        <v>0.43241224794622857</v>
      </c>
      <c r="O345">
        <f>IF(orders[[#This Row],[Delivery Date]]="","",(orders[[#This Row],[Delivery Date]]-orders[[#This Row],[Date]]))</f>
        <v>2</v>
      </c>
      <c r="P345" t="str">
        <f>IF(orders[[#This Row],[delivery days]]="","Not Delivered",IF(orders[[#This Row],[delivery days]]&lt;=2,"Fast",IF(orders[[#This Row],[delivery days]]&lt;=5,"Normal","Delayed")))</f>
        <v>Fast</v>
      </c>
    </row>
    <row r="346" spans="1:16" x14ac:dyDescent="0.25">
      <c r="A346" t="s">
        <v>481</v>
      </c>
      <c r="B346" s="5">
        <v>45789</v>
      </c>
      <c r="C346" t="s">
        <v>105</v>
      </c>
      <c r="D346" t="s">
        <v>51</v>
      </c>
      <c r="E346" t="s">
        <v>34</v>
      </c>
      <c r="F346">
        <v>3</v>
      </c>
      <c r="G346" s="1">
        <v>247.35</v>
      </c>
      <c r="H346" s="1">
        <v>126</v>
      </c>
      <c r="I346" s="5">
        <v>45791</v>
      </c>
      <c r="J346" t="s">
        <v>30</v>
      </c>
      <c r="K346" t="s">
        <v>17</v>
      </c>
      <c r="L346" t="s">
        <v>25</v>
      </c>
      <c r="M346" s="1">
        <f>(orders[[#This Row],[Revenue]]-orders[[#This Row],[Cost]])</f>
        <v>121.35</v>
      </c>
      <c r="N346" s="8">
        <f>IFERROR(orders[[#This Row],[profit]]/orders[[#This Row],[Revenue]],0)</f>
        <v>0.49060036385688294</v>
      </c>
      <c r="O346">
        <f>IF(orders[[#This Row],[Delivery Date]]="","",(orders[[#This Row],[Delivery Date]]-orders[[#This Row],[Date]]))</f>
        <v>2</v>
      </c>
      <c r="P346" t="str">
        <f>IF(orders[[#This Row],[delivery days]]="","Not Delivered",IF(orders[[#This Row],[delivery days]]&lt;=2,"Fast",IF(orders[[#This Row],[delivery days]]&lt;=5,"Normal","Delayed")))</f>
        <v>Fast</v>
      </c>
    </row>
    <row r="347" spans="1:16" x14ac:dyDescent="0.25">
      <c r="A347" t="s">
        <v>482</v>
      </c>
      <c r="B347" s="5">
        <v>45790</v>
      </c>
      <c r="C347" t="s">
        <v>116</v>
      </c>
      <c r="D347" t="s">
        <v>179</v>
      </c>
      <c r="E347" t="s">
        <v>34</v>
      </c>
      <c r="F347">
        <v>1</v>
      </c>
      <c r="G347" s="1">
        <v>45</v>
      </c>
      <c r="H347" s="1">
        <v>18.62</v>
      </c>
      <c r="I347" s="5">
        <v>45795</v>
      </c>
      <c r="J347" t="s">
        <v>16</v>
      </c>
      <c r="K347" t="s">
        <v>17</v>
      </c>
      <c r="L347" t="s">
        <v>18</v>
      </c>
      <c r="M347" s="1">
        <f>(orders[[#This Row],[Revenue]]-orders[[#This Row],[Cost]])</f>
        <v>26.38</v>
      </c>
      <c r="N347" s="8">
        <f>IFERROR(orders[[#This Row],[profit]]/orders[[#This Row],[Revenue]],0)</f>
        <v>0.5862222222222222</v>
      </c>
      <c r="O347">
        <f>IF(orders[[#This Row],[Delivery Date]]="","",(orders[[#This Row],[Delivery Date]]-orders[[#This Row],[Date]]))</f>
        <v>5</v>
      </c>
      <c r="P347" t="str">
        <f>IF(orders[[#This Row],[delivery days]]="","Not Delivered",IF(orders[[#This Row],[delivery days]]&lt;=2,"Fast",IF(orders[[#This Row],[delivery days]]&lt;=5,"Normal","Delayed")))</f>
        <v>Normal</v>
      </c>
    </row>
    <row r="348" spans="1:16" x14ac:dyDescent="0.25">
      <c r="A348" t="s">
        <v>483</v>
      </c>
      <c r="B348" s="5">
        <v>45790</v>
      </c>
      <c r="C348" t="s">
        <v>137</v>
      </c>
      <c r="D348" t="s">
        <v>100</v>
      </c>
      <c r="E348" t="s">
        <v>34</v>
      </c>
      <c r="F348">
        <v>1</v>
      </c>
      <c r="G348" s="1">
        <v>47.84</v>
      </c>
      <c r="H348" s="1">
        <v>23.46</v>
      </c>
      <c r="I348" s="5">
        <v>45793</v>
      </c>
      <c r="J348" t="s">
        <v>30</v>
      </c>
      <c r="K348" t="s">
        <v>17</v>
      </c>
      <c r="L348" t="s">
        <v>25</v>
      </c>
      <c r="M348" s="1">
        <f>(orders[[#This Row],[Revenue]]-orders[[#This Row],[Cost]])</f>
        <v>24.380000000000003</v>
      </c>
      <c r="N348" s="8">
        <f>IFERROR(orders[[#This Row],[profit]]/orders[[#This Row],[Revenue]],0)</f>
        <v>0.50961538461538458</v>
      </c>
      <c r="O348">
        <f>IF(orders[[#This Row],[Delivery Date]]="","",(orders[[#This Row],[Delivery Date]]-orders[[#This Row],[Date]]))</f>
        <v>3</v>
      </c>
      <c r="P348" t="str">
        <f>IF(orders[[#This Row],[delivery days]]="","Not Delivered",IF(orders[[#This Row],[delivery days]]&lt;=2,"Fast",IF(orders[[#This Row],[delivery days]]&lt;=5,"Normal","Delayed")))</f>
        <v>Normal</v>
      </c>
    </row>
    <row r="349" spans="1:16" x14ac:dyDescent="0.25">
      <c r="A349" t="s">
        <v>484</v>
      </c>
      <c r="B349" s="5">
        <v>45791</v>
      </c>
      <c r="C349" t="s">
        <v>88</v>
      </c>
      <c r="D349" t="s">
        <v>179</v>
      </c>
      <c r="E349" t="s">
        <v>34</v>
      </c>
      <c r="F349">
        <v>2</v>
      </c>
      <c r="G349" s="1">
        <v>82.8</v>
      </c>
      <c r="H349" s="1">
        <v>38</v>
      </c>
      <c r="I349" s="5">
        <v>45795</v>
      </c>
      <c r="J349" t="s">
        <v>16</v>
      </c>
      <c r="K349" t="s">
        <v>17</v>
      </c>
      <c r="L349" t="s">
        <v>25</v>
      </c>
      <c r="M349" s="1">
        <f>(orders[[#This Row],[Revenue]]-orders[[#This Row],[Cost]])</f>
        <v>44.8</v>
      </c>
      <c r="N349" s="8">
        <f>IFERROR(orders[[#This Row],[profit]]/orders[[#This Row],[Revenue]],0)</f>
        <v>0.54106280193236711</v>
      </c>
      <c r="O349">
        <f>IF(orders[[#This Row],[Delivery Date]]="","",(orders[[#This Row],[Delivery Date]]-orders[[#This Row],[Date]]))</f>
        <v>4</v>
      </c>
      <c r="P349" t="str">
        <f>IF(orders[[#This Row],[delivery days]]="","Not Delivered",IF(orders[[#This Row],[delivery days]]&lt;=2,"Fast",IF(orders[[#This Row],[delivery days]]&lt;=5,"Normal","Delayed")))</f>
        <v>Normal</v>
      </c>
    </row>
    <row r="350" spans="1:16" x14ac:dyDescent="0.25">
      <c r="A350" t="s">
        <v>485</v>
      </c>
      <c r="B350" s="5">
        <v>45791</v>
      </c>
      <c r="C350" t="s">
        <v>96</v>
      </c>
      <c r="D350" t="s">
        <v>97</v>
      </c>
      <c r="E350" t="s">
        <v>39</v>
      </c>
      <c r="F350">
        <v>1</v>
      </c>
      <c r="G350" s="1">
        <v>390</v>
      </c>
      <c r="H350" s="1">
        <v>260</v>
      </c>
      <c r="I350" s="5">
        <v>45796</v>
      </c>
      <c r="J350" t="s">
        <v>16</v>
      </c>
      <c r="K350" t="s">
        <v>17</v>
      </c>
      <c r="L350" t="s">
        <v>25</v>
      </c>
      <c r="M350" s="1">
        <f>(orders[[#This Row],[Revenue]]-orders[[#This Row],[Cost]])</f>
        <v>130</v>
      </c>
      <c r="N350" s="8">
        <f>IFERROR(orders[[#This Row],[profit]]/orders[[#This Row],[Revenue]],0)</f>
        <v>0.33333333333333331</v>
      </c>
      <c r="O350">
        <f>IF(orders[[#This Row],[Delivery Date]]="","",(orders[[#This Row],[Delivery Date]]-orders[[#This Row],[Date]]))</f>
        <v>5</v>
      </c>
      <c r="P350" t="str">
        <f>IF(orders[[#This Row],[delivery days]]="","Not Delivered",IF(orders[[#This Row],[delivery days]]&lt;=2,"Fast",IF(orders[[#This Row],[delivery days]]&lt;=5,"Normal","Delayed")))</f>
        <v>Normal</v>
      </c>
    </row>
    <row r="351" spans="1:16" x14ac:dyDescent="0.25">
      <c r="A351" t="s">
        <v>486</v>
      </c>
      <c r="B351" s="5">
        <v>45791</v>
      </c>
      <c r="C351" t="s">
        <v>487</v>
      </c>
      <c r="D351" t="s">
        <v>125</v>
      </c>
      <c r="E351" t="s">
        <v>62</v>
      </c>
      <c r="F351">
        <v>2</v>
      </c>
      <c r="G351" s="1">
        <v>298.7</v>
      </c>
      <c r="H351" s="1">
        <v>160.72</v>
      </c>
      <c r="I351" s="5">
        <v>45794</v>
      </c>
      <c r="J351" t="s">
        <v>16</v>
      </c>
      <c r="K351" t="s">
        <v>17</v>
      </c>
      <c r="L351" t="s">
        <v>25</v>
      </c>
      <c r="M351" s="1">
        <f>(orders[[#This Row],[Revenue]]-orders[[#This Row],[Cost]])</f>
        <v>137.97999999999999</v>
      </c>
      <c r="N351" s="8">
        <f>IFERROR(orders[[#This Row],[profit]]/orders[[#This Row],[Revenue]],0)</f>
        <v>0.46193505189152995</v>
      </c>
      <c r="O351">
        <f>IF(orders[[#This Row],[Delivery Date]]="","",(orders[[#This Row],[Delivery Date]]-orders[[#This Row],[Date]]))</f>
        <v>3</v>
      </c>
      <c r="P351" t="str">
        <f>IF(orders[[#This Row],[delivery days]]="","Not Delivered",IF(orders[[#This Row],[delivery days]]&lt;=2,"Fast",IF(orders[[#This Row],[delivery days]]&lt;=5,"Normal","Delayed")))</f>
        <v>Normal</v>
      </c>
    </row>
    <row r="352" spans="1:16" x14ac:dyDescent="0.25">
      <c r="A352" t="s">
        <v>488</v>
      </c>
      <c r="B352" s="5">
        <v>45792</v>
      </c>
      <c r="C352" t="s">
        <v>282</v>
      </c>
      <c r="D352" t="s">
        <v>163</v>
      </c>
      <c r="E352" t="s">
        <v>39</v>
      </c>
      <c r="F352">
        <v>1</v>
      </c>
      <c r="G352" s="1">
        <v>87.4</v>
      </c>
      <c r="H352" s="1">
        <v>52</v>
      </c>
      <c r="I352" s="5">
        <v>45795</v>
      </c>
      <c r="J352" t="s">
        <v>101</v>
      </c>
      <c r="K352" t="s">
        <v>35</v>
      </c>
      <c r="L352" t="s">
        <v>25</v>
      </c>
      <c r="M352" s="1">
        <f>(orders[[#This Row],[Revenue]]-orders[[#This Row],[Cost]])</f>
        <v>35.400000000000006</v>
      </c>
      <c r="N352" s="8">
        <f>IFERROR(orders[[#This Row],[profit]]/orders[[#This Row],[Revenue]],0)</f>
        <v>0.40503432494279179</v>
      </c>
      <c r="O352">
        <f>IF(orders[[#This Row],[Delivery Date]]="","",(orders[[#This Row],[Delivery Date]]-orders[[#This Row],[Date]]))</f>
        <v>3</v>
      </c>
      <c r="P352" t="str">
        <f>IF(orders[[#This Row],[delivery days]]="","Not Delivered",IF(orders[[#This Row],[delivery days]]&lt;=2,"Fast",IF(orders[[#This Row],[delivery days]]&lt;=5,"Normal","Delayed")))</f>
        <v>Normal</v>
      </c>
    </row>
    <row r="353" spans="1:16" x14ac:dyDescent="0.25">
      <c r="A353" t="s">
        <v>489</v>
      </c>
      <c r="B353" s="5">
        <v>45792</v>
      </c>
      <c r="C353" t="s">
        <v>88</v>
      </c>
      <c r="D353" t="s">
        <v>187</v>
      </c>
      <c r="E353" t="s">
        <v>15</v>
      </c>
      <c r="F353">
        <v>1</v>
      </c>
      <c r="G353" s="1">
        <v>35</v>
      </c>
      <c r="H353" s="1">
        <v>16</v>
      </c>
      <c r="I353" s="5">
        <v>45796</v>
      </c>
      <c r="J353" t="s">
        <v>23</v>
      </c>
      <c r="K353" t="s">
        <v>17</v>
      </c>
      <c r="L353" t="s">
        <v>25</v>
      </c>
      <c r="M353" s="1">
        <f>(orders[[#This Row],[Revenue]]-orders[[#This Row],[Cost]])</f>
        <v>19</v>
      </c>
      <c r="N353" s="8">
        <f>IFERROR(orders[[#This Row],[profit]]/orders[[#This Row],[Revenue]],0)</f>
        <v>0.54285714285714282</v>
      </c>
      <c r="O353">
        <f>IF(orders[[#This Row],[Delivery Date]]="","",(orders[[#This Row],[Delivery Date]]-orders[[#This Row],[Date]]))</f>
        <v>4</v>
      </c>
      <c r="P353" t="str">
        <f>IF(orders[[#This Row],[delivery days]]="","Not Delivered",IF(orders[[#This Row],[delivery days]]&lt;=2,"Fast",IF(orders[[#This Row],[delivery days]]&lt;=5,"Normal","Delayed")))</f>
        <v>Normal</v>
      </c>
    </row>
    <row r="354" spans="1:16" x14ac:dyDescent="0.25">
      <c r="A354" t="s">
        <v>490</v>
      </c>
      <c r="B354" s="5">
        <v>45792</v>
      </c>
      <c r="C354" t="s">
        <v>49</v>
      </c>
      <c r="D354" t="s">
        <v>51</v>
      </c>
      <c r="E354" t="s">
        <v>34</v>
      </c>
      <c r="F354">
        <v>1</v>
      </c>
      <c r="G354" s="1">
        <v>82.45</v>
      </c>
      <c r="H354" s="1">
        <v>42</v>
      </c>
      <c r="I354" s="5">
        <v>45796</v>
      </c>
      <c r="J354" t="s">
        <v>16</v>
      </c>
      <c r="K354" t="s">
        <v>17</v>
      </c>
      <c r="L354" t="s">
        <v>18</v>
      </c>
      <c r="M354" s="1">
        <f>(orders[[#This Row],[Revenue]]-orders[[#This Row],[Cost]])</f>
        <v>40.450000000000003</v>
      </c>
      <c r="N354" s="8">
        <f>IFERROR(orders[[#This Row],[profit]]/orders[[#This Row],[Revenue]],0)</f>
        <v>0.49060036385688299</v>
      </c>
      <c r="O354">
        <f>IF(orders[[#This Row],[Delivery Date]]="","",(orders[[#This Row],[Delivery Date]]-orders[[#This Row],[Date]]))</f>
        <v>4</v>
      </c>
      <c r="P354" t="str">
        <f>IF(orders[[#This Row],[delivery days]]="","Not Delivered",IF(orders[[#This Row],[delivery days]]&lt;=2,"Fast",IF(orders[[#This Row],[delivery days]]&lt;=5,"Normal","Delayed")))</f>
        <v>Normal</v>
      </c>
    </row>
    <row r="355" spans="1:16" x14ac:dyDescent="0.25">
      <c r="A355" t="s">
        <v>491</v>
      </c>
      <c r="B355" s="5">
        <v>45792</v>
      </c>
      <c r="C355" t="s">
        <v>246</v>
      </c>
      <c r="D355" t="s">
        <v>83</v>
      </c>
      <c r="E355" t="s">
        <v>15</v>
      </c>
      <c r="F355">
        <v>4</v>
      </c>
      <c r="G355" s="1">
        <v>300</v>
      </c>
      <c r="H355" s="1">
        <v>156</v>
      </c>
      <c r="I355" s="5">
        <v>45794</v>
      </c>
      <c r="J355" t="s">
        <v>30</v>
      </c>
      <c r="K355" t="s">
        <v>35</v>
      </c>
      <c r="L355" t="s">
        <v>25</v>
      </c>
      <c r="M355" s="1">
        <f>(orders[[#This Row],[Revenue]]-orders[[#This Row],[Cost]])</f>
        <v>144</v>
      </c>
      <c r="N355" s="8">
        <f>IFERROR(orders[[#This Row],[profit]]/orders[[#This Row],[Revenue]],0)</f>
        <v>0.48</v>
      </c>
      <c r="O355">
        <f>IF(orders[[#This Row],[Delivery Date]]="","",(orders[[#This Row],[Delivery Date]]-orders[[#This Row],[Date]]))</f>
        <v>2</v>
      </c>
      <c r="P355" t="str">
        <f>IF(orders[[#This Row],[delivery days]]="","Not Delivered",IF(orders[[#This Row],[delivery days]]&lt;=2,"Fast",IF(orders[[#This Row],[delivery days]]&lt;=5,"Normal","Delayed")))</f>
        <v>Fast</v>
      </c>
    </row>
    <row r="356" spans="1:16" x14ac:dyDescent="0.25">
      <c r="A356" t="s">
        <v>492</v>
      </c>
      <c r="B356" s="5">
        <v>45792</v>
      </c>
      <c r="C356" t="s">
        <v>107</v>
      </c>
      <c r="D356" t="s">
        <v>110</v>
      </c>
      <c r="E356" t="s">
        <v>39</v>
      </c>
      <c r="F356">
        <v>1</v>
      </c>
      <c r="G356" s="1">
        <v>210</v>
      </c>
      <c r="H356" s="1">
        <v>125</v>
      </c>
      <c r="I356" s="5">
        <v>45795</v>
      </c>
      <c r="J356" t="s">
        <v>46</v>
      </c>
      <c r="K356" t="s">
        <v>24</v>
      </c>
      <c r="L356" t="s">
        <v>25</v>
      </c>
      <c r="M356" s="1">
        <f>(orders[[#This Row],[Revenue]]-orders[[#This Row],[Cost]])</f>
        <v>85</v>
      </c>
      <c r="N356" s="8">
        <f>IFERROR(orders[[#This Row],[profit]]/orders[[#This Row],[Revenue]],0)</f>
        <v>0.40476190476190477</v>
      </c>
      <c r="O356">
        <f>IF(orders[[#This Row],[Delivery Date]]="","",(orders[[#This Row],[Delivery Date]]-orders[[#This Row],[Date]]))</f>
        <v>3</v>
      </c>
      <c r="P356" t="str">
        <f>IF(orders[[#This Row],[delivery days]]="","Not Delivered",IF(orders[[#This Row],[delivery days]]&lt;=2,"Fast",IF(orders[[#This Row],[delivery days]]&lt;=5,"Normal","Delayed")))</f>
        <v>Normal</v>
      </c>
    </row>
    <row r="357" spans="1:16" x14ac:dyDescent="0.25">
      <c r="A357" t="s">
        <v>493</v>
      </c>
      <c r="B357" s="5">
        <v>45792</v>
      </c>
      <c r="C357" t="s">
        <v>20</v>
      </c>
      <c r="D357" t="s">
        <v>135</v>
      </c>
      <c r="E357" t="s">
        <v>62</v>
      </c>
      <c r="F357">
        <v>2</v>
      </c>
      <c r="G357" s="1">
        <v>230</v>
      </c>
      <c r="H357" s="1">
        <v>126</v>
      </c>
      <c r="I357" s="5">
        <v>45794</v>
      </c>
      <c r="J357" t="s">
        <v>30</v>
      </c>
      <c r="K357" t="s">
        <v>35</v>
      </c>
      <c r="L357" t="s">
        <v>25</v>
      </c>
      <c r="M357" s="1">
        <f>(orders[[#This Row],[Revenue]]-orders[[#This Row],[Cost]])</f>
        <v>104</v>
      </c>
      <c r="N357" s="8">
        <f>IFERROR(orders[[#This Row],[profit]]/orders[[#This Row],[Revenue]],0)</f>
        <v>0.45217391304347826</v>
      </c>
      <c r="O357">
        <f>IF(orders[[#This Row],[Delivery Date]]="","",(orders[[#This Row],[Delivery Date]]-orders[[#This Row],[Date]]))</f>
        <v>2</v>
      </c>
      <c r="P357" t="str">
        <f>IF(orders[[#This Row],[delivery days]]="","Not Delivered",IF(orders[[#This Row],[delivery days]]&lt;=2,"Fast",IF(orders[[#This Row],[delivery days]]&lt;=5,"Normal","Delayed")))</f>
        <v>Fast</v>
      </c>
    </row>
    <row r="358" spans="1:16" x14ac:dyDescent="0.25">
      <c r="A358" t="s">
        <v>494</v>
      </c>
      <c r="B358" s="5">
        <v>45793</v>
      </c>
      <c r="C358" t="s">
        <v>96</v>
      </c>
      <c r="D358" t="s">
        <v>76</v>
      </c>
      <c r="E358" t="s">
        <v>77</v>
      </c>
      <c r="F358">
        <v>1</v>
      </c>
      <c r="G358" s="1">
        <v>252.2</v>
      </c>
      <c r="H358" s="1">
        <v>161.69999999999999</v>
      </c>
      <c r="I358" s="5"/>
      <c r="J358" t="s">
        <v>16</v>
      </c>
      <c r="K358" t="s">
        <v>35</v>
      </c>
      <c r="L358" t="s">
        <v>42</v>
      </c>
      <c r="M358" s="1">
        <f>(orders[[#This Row],[Revenue]]-orders[[#This Row],[Cost]])</f>
        <v>90.5</v>
      </c>
      <c r="N358" s="8">
        <f>IFERROR(orders[[#This Row],[profit]]/orders[[#This Row],[Revenue]],0)</f>
        <v>0.35884218873909596</v>
      </c>
      <c r="O358" t="str">
        <f>IF(orders[[#This Row],[Delivery Date]]="","",(orders[[#This Row],[Delivery Date]]-orders[[#This Row],[Date]]))</f>
        <v/>
      </c>
      <c r="P358" t="str">
        <f>IF(orders[[#This Row],[delivery days]]="","Not Delivered",IF(orders[[#This Row],[delivery days]]&lt;=2,"Fast",IF(orders[[#This Row],[delivery days]]&lt;=5,"Normal","Delayed")))</f>
        <v>Not Delivered</v>
      </c>
    </row>
    <row r="359" spans="1:16" x14ac:dyDescent="0.25">
      <c r="A359" t="s">
        <v>495</v>
      </c>
      <c r="B359" s="5">
        <v>45793</v>
      </c>
      <c r="C359" t="s">
        <v>90</v>
      </c>
      <c r="D359" t="s">
        <v>38</v>
      </c>
      <c r="E359" t="s">
        <v>39</v>
      </c>
      <c r="F359">
        <v>2</v>
      </c>
      <c r="G359" s="1">
        <v>1751</v>
      </c>
      <c r="H359" s="1">
        <v>1220</v>
      </c>
      <c r="I359" s="5">
        <v>45797</v>
      </c>
      <c r="J359" t="s">
        <v>16</v>
      </c>
      <c r="K359" t="s">
        <v>17</v>
      </c>
      <c r="L359" t="s">
        <v>25</v>
      </c>
      <c r="M359" s="1">
        <f>(orders[[#This Row],[Revenue]]-orders[[#This Row],[Cost]])</f>
        <v>531</v>
      </c>
      <c r="N359" s="8">
        <f>IFERROR(orders[[#This Row],[profit]]/orders[[#This Row],[Revenue]],0)</f>
        <v>0.30325528269560253</v>
      </c>
      <c r="O359">
        <f>IF(orders[[#This Row],[Delivery Date]]="","",(orders[[#This Row],[Delivery Date]]-orders[[#This Row],[Date]]))</f>
        <v>4</v>
      </c>
      <c r="P359" t="str">
        <f>IF(orders[[#This Row],[delivery days]]="","Not Delivered",IF(orders[[#This Row],[delivery days]]&lt;=2,"Fast",IF(orders[[#This Row],[delivery days]]&lt;=5,"Normal","Delayed")))</f>
        <v>Normal</v>
      </c>
    </row>
    <row r="360" spans="1:16" x14ac:dyDescent="0.25">
      <c r="A360" t="s">
        <v>496</v>
      </c>
      <c r="B360" s="5">
        <v>45793</v>
      </c>
      <c r="C360" t="s">
        <v>107</v>
      </c>
      <c r="D360" t="s">
        <v>163</v>
      </c>
      <c r="E360" t="s">
        <v>39</v>
      </c>
      <c r="F360">
        <v>4</v>
      </c>
      <c r="G360" s="1">
        <v>349.6</v>
      </c>
      <c r="H360" s="1">
        <v>208</v>
      </c>
      <c r="I360" s="5"/>
      <c r="J360" t="s">
        <v>16</v>
      </c>
      <c r="K360" t="s">
        <v>35</v>
      </c>
      <c r="L360" t="s">
        <v>103</v>
      </c>
      <c r="M360" s="1">
        <f>(orders[[#This Row],[Revenue]]-orders[[#This Row],[Cost]])</f>
        <v>141.60000000000002</v>
      </c>
      <c r="N360" s="8">
        <f>IFERROR(orders[[#This Row],[profit]]/orders[[#This Row],[Revenue]],0)</f>
        <v>0.40503432494279179</v>
      </c>
      <c r="O360" t="str">
        <f>IF(orders[[#This Row],[Delivery Date]]="","",(orders[[#This Row],[Delivery Date]]-orders[[#This Row],[Date]]))</f>
        <v/>
      </c>
      <c r="P360" t="str">
        <f>IF(orders[[#This Row],[delivery days]]="","Not Delivered",IF(orders[[#This Row],[delivery days]]&lt;=2,"Fast",IF(orders[[#This Row],[delivery days]]&lt;=5,"Normal","Delayed")))</f>
        <v>Not Delivered</v>
      </c>
    </row>
    <row r="361" spans="1:16" x14ac:dyDescent="0.25">
      <c r="A361" t="s">
        <v>497</v>
      </c>
      <c r="B361" s="5">
        <v>45795</v>
      </c>
      <c r="C361" t="s">
        <v>278</v>
      </c>
      <c r="D361" t="s">
        <v>113</v>
      </c>
      <c r="E361" t="s">
        <v>15</v>
      </c>
      <c r="F361">
        <v>1</v>
      </c>
      <c r="G361" s="1">
        <v>102.6</v>
      </c>
      <c r="H361" s="1">
        <v>48</v>
      </c>
      <c r="I361" s="5">
        <v>45798</v>
      </c>
      <c r="J361" t="s">
        <v>101</v>
      </c>
      <c r="K361" t="s">
        <v>47</v>
      </c>
      <c r="L361" t="s">
        <v>25</v>
      </c>
      <c r="M361" s="1">
        <f>(orders[[#This Row],[Revenue]]-orders[[#This Row],[Cost]])</f>
        <v>54.599999999999994</v>
      </c>
      <c r="N361" s="8">
        <f>IFERROR(orders[[#This Row],[profit]]/orders[[#This Row],[Revenue]],0)</f>
        <v>0.53216374269005851</v>
      </c>
      <c r="O361">
        <f>IF(orders[[#This Row],[Delivery Date]]="","",(orders[[#This Row],[Delivery Date]]-orders[[#This Row],[Date]]))</f>
        <v>3</v>
      </c>
      <c r="P361" t="str">
        <f>IF(orders[[#This Row],[delivery days]]="","Not Delivered",IF(orders[[#This Row],[delivery days]]&lt;=2,"Fast",IF(orders[[#This Row],[delivery days]]&lt;=5,"Normal","Delayed")))</f>
        <v>Normal</v>
      </c>
    </row>
    <row r="362" spans="1:16" x14ac:dyDescent="0.25">
      <c r="A362" t="s">
        <v>498</v>
      </c>
      <c r="B362" s="5">
        <v>45795</v>
      </c>
      <c r="C362" t="s">
        <v>382</v>
      </c>
      <c r="D362" t="s">
        <v>187</v>
      </c>
      <c r="E362" t="s">
        <v>15</v>
      </c>
      <c r="F362">
        <v>2</v>
      </c>
      <c r="G362" s="1">
        <v>70</v>
      </c>
      <c r="H362" s="1">
        <v>32.64</v>
      </c>
      <c r="I362" s="5">
        <v>45796</v>
      </c>
      <c r="J362" t="s">
        <v>30</v>
      </c>
      <c r="K362" t="s">
        <v>35</v>
      </c>
      <c r="L362" t="s">
        <v>25</v>
      </c>
      <c r="M362" s="1">
        <f>(orders[[#This Row],[Revenue]]-orders[[#This Row],[Cost]])</f>
        <v>37.36</v>
      </c>
      <c r="N362" s="8">
        <f>IFERROR(orders[[#This Row],[profit]]/orders[[#This Row],[Revenue]],0)</f>
        <v>0.5337142857142857</v>
      </c>
      <c r="O362">
        <f>IF(orders[[#This Row],[Delivery Date]]="","",(orders[[#This Row],[Delivery Date]]-orders[[#This Row],[Date]]))</f>
        <v>1</v>
      </c>
      <c r="P362" t="str">
        <f>IF(orders[[#This Row],[delivery days]]="","Not Delivered",IF(orders[[#This Row],[delivery days]]&lt;=2,"Fast",IF(orders[[#This Row],[delivery days]]&lt;=5,"Normal","Delayed")))</f>
        <v>Fast</v>
      </c>
    </row>
    <row r="363" spans="1:16" x14ac:dyDescent="0.25">
      <c r="A363" t="s">
        <v>499</v>
      </c>
      <c r="B363" s="5">
        <v>45795</v>
      </c>
      <c r="C363" t="s">
        <v>79</v>
      </c>
      <c r="D363" t="s">
        <v>76</v>
      </c>
      <c r="E363" t="s">
        <v>77</v>
      </c>
      <c r="F363">
        <v>4</v>
      </c>
      <c r="G363" s="1">
        <v>1040</v>
      </c>
      <c r="H363" s="1">
        <v>660</v>
      </c>
      <c r="I363" s="5">
        <v>45796</v>
      </c>
      <c r="J363" t="s">
        <v>101</v>
      </c>
      <c r="K363" t="s">
        <v>47</v>
      </c>
      <c r="L363" t="s">
        <v>25</v>
      </c>
      <c r="M363" s="1">
        <f>(orders[[#This Row],[Revenue]]-orders[[#This Row],[Cost]])</f>
        <v>380</v>
      </c>
      <c r="N363" s="8">
        <f>IFERROR(orders[[#This Row],[profit]]/orders[[#This Row],[Revenue]],0)</f>
        <v>0.36538461538461536</v>
      </c>
      <c r="O363">
        <f>IF(orders[[#This Row],[Delivery Date]]="","",(orders[[#This Row],[Delivery Date]]-orders[[#This Row],[Date]]))</f>
        <v>1</v>
      </c>
      <c r="P363" t="str">
        <f>IF(orders[[#This Row],[delivery days]]="","Not Delivered",IF(orders[[#This Row],[delivery days]]&lt;=2,"Fast",IF(orders[[#This Row],[delivery days]]&lt;=5,"Normal","Delayed")))</f>
        <v>Fast</v>
      </c>
    </row>
    <row r="364" spans="1:16" x14ac:dyDescent="0.25">
      <c r="A364" t="s">
        <v>500</v>
      </c>
      <c r="B364" s="5">
        <v>45795</v>
      </c>
      <c r="C364" t="s">
        <v>94</v>
      </c>
      <c r="D364" t="s">
        <v>80</v>
      </c>
      <c r="E364" t="s">
        <v>77</v>
      </c>
      <c r="F364">
        <v>2</v>
      </c>
      <c r="G364" s="1">
        <v>145.5</v>
      </c>
      <c r="H364" s="1">
        <v>74.48</v>
      </c>
      <c r="I364" s="5">
        <v>45800</v>
      </c>
      <c r="J364" t="s">
        <v>23</v>
      </c>
      <c r="K364" t="s">
        <v>17</v>
      </c>
      <c r="L364" t="s">
        <v>18</v>
      </c>
      <c r="M364" s="1">
        <f>(orders[[#This Row],[Revenue]]-orders[[#This Row],[Cost]])</f>
        <v>71.02</v>
      </c>
      <c r="N364" s="8">
        <f>IFERROR(orders[[#This Row],[profit]]/orders[[#This Row],[Revenue]],0)</f>
        <v>0.48810996563573883</v>
      </c>
      <c r="O364">
        <f>IF(orders[[#This Row],[Delivery Date]]="","",(orders[[#This Row],[Delivery Date]]-orders[[#This Row],[Date]]))</f>
        <v>5</v>
      </c>
      <c r="P364" t="str">
        <f>IF(orders[[#This Row],[delivery days]]="","Not Delivered",IF(orders[[#This Row],[delivery days]]&lt;=2,"Fast",IF(orders[[#This Row],[delivery days]]&lt;=5,"Normal","Delayed")))</f>
        <v>Normal</v>
      </c>
    </row>
    <row r="365" spans="1:16" x14ac:dyDescent="0.25">
      <c r="A365" t="s">
        <v>501</v>
      </c>
      <c r="B365" s="5">
        <v>45795</v>
      </c>
      <c r="C365" t="s">
        <v>176</v>
      </c>
      <c r="D365" t="s">
        <v>219</v>
      </c>
      <c r="E365" t="s">
        <v>34</v>
      </c>
      <c r="F365">
        <v>1</v>
      </c>
      <c r="G365" s="1">
        <v>28.84</v>
      </c>
      <c r="H365" s="1">
        <v>11</v>
      </c>
      <c r="I365" s="5">
        <v>45799</v>
      </c>
      <c r="J365" t="s">
        <v>23</v>
      </c>
      <c r="K365" t="s">
        <v>24</v>
      </c>
      <c r="L365" t="s">
        <v>25</v>
      </c>
      <c r="M365" s="1">
        <f>(orders[[#This Row],[Revenue]]-orders[[#This Row],[Cost]])</f>
        <v>17.84</v>
      </c>
      <c r="N365" s="8">
        <f>IFERROR(orders[[#This Row],[profit]]/orders[[#This Row],[Revenue]],0)</f>
        <v>0.61858529819694863</v>
      </c>
      <c r="O365">
        <f>IF(orders[[#This Row],[Delivery Date]]="","",(orders[[#This Row],[Delivery Date]]-orders[[#This Row],[Date]]))</f>
        <v>4</v>
      </c>
      <c r="P365" t="str">
        <f>IF(orders[[#This Row],[delivery days]]="","Not Delivered",IF(orders[[#This Row],[delivery days]]&lt;=2,"Fast",IF(orders[[#This Row],[delivery days]]&lt;=5,"Normal","Delayed")))</f>
        <v>Normal</v>
      </c>
    </row>
    <row r="366" spans="1:16" x14ac:dyDescent="0.25">
      <c r="A366" t="s">
        <v>502</v>
      </c>
      <c r="B366" s="5">
        <v>45796</v>
      </c>
      <c r="C366" t="s">
        <v>32</v>
      </c>
      <c r="D366" t="s">
        <v>58</v>
      </c>
      <c r="E366" t="s">
        <v>39</v>
      </c>
      <c r="F366">
        <v>2</v>
      </c>
      <c r="G366" s="1">
        <v>2500</v>
      </c>
      <c r="H366" s="1">
        <v>1764</v>
      </c>
      <c r="I366" s="5">
        <v>45799</v>
      </c>
      <c r="J366" t="s">
        <v>46</v>
      </c>
      <c r="K366" t="s">
        <v>47</v>
      </c>
      <c r="L366" t="s">
        <v>25</v>
      </c>
      <c r="M366" s="1">
        <f>(orders[[#This Row],[Revenue]]-orders[[#This Row],[Cost]])</f>
        <v>736</v>
      </c>
      <c r="N366" s="8">
        <f>IFERROR(orders[[#This Row],[profit]]/orders[[#This Row],[Revenue]],0)</f>
        <v>0.2944</v>
      </c>
      <c r="O366">
        <f>IF(orders[[#This Row],[Delivery Date]]="","",(orders[[#This Row],[Delivery Date]]-orders[[#This Row],[Date]]))</f>
        <v>3</v>
      </c>
      <c r="P366" t="str">
        <f>IF(orders[[#This Row],[delivery days]]="","Not Delivered",IF(orders[[#This Row],[delivery days]]&lt;=2,"Fast",IF(orders[[#This Row],[delivery days]]&lt;=5,"Normal","Delayed")))</f>
        <v>Normal</v>
      </c>
    </row>
    <row r="367" spans="1:16" x14ac:dyDescent="0.25">
      <c r="A367" t="s">
        <v>503</v>
      </c>
      <c r="B367" s="5">
        <v>45797</v>
      </c>
      <c r="C367" t="s">
        <v>20</v>
      </c>
      <c r="D367" t="s">
        <v>51</v>
      </c>
      <c r="E367" t="s">
        <v>34</v>
      </c>
      <c r="F367">
        <v>1</v>
      </c>
      <c r="G367" s="1">
        <v>87.55</v>
      </c>
      <c r="H367" s="1">
        <v>42</v>
      </c>
      <c r="I367" s="5">
        <v>45800</v>
      </c>
      <c r="J367" t="s">
        <v>30</v>
      </c>
      <c r="K367" t="s">
        <v>17</v>
      </c>
      <c r="L367" t="s">
        <v>25</v>
      </c>
      <c r="M367" s="1">
        <f>(orders[[#This Row],[Revenue]]-orders[[#This Row],[Cost]])</f>
        <v>45.55</v>
      </c>
      <c r="N367" s="8">
        <f>IFERROR(orders[[#This Row],[profit]]/orders[[#This Row],[Revenue]],0)</f>
        <v>0.52027412906910331</v>
      </c>
      <c r="O367">
        <f>IF(orders[[#This Row],[Delivery Date]]="","",(orders[[#This Row],[Delivery Date]]-orders[[#This Row],[Date]]))</f>
        <v>3</v>
      </c>
      <c r="P367" t="str">
        <f>IF(orders[[#This Row],[delivery days]]="","Not Delivered",IF(orders[[#This Row],[delivery days]]&lt;=2,"Fast",IF(orders[[#This Row],[delivery days]]&lt;=5,"Normal","Delayed")))</f>
        <v>Normal</v>
      </c>
    </row>
    <row r="368" spans="1:16" x14ac:dyDescent="0.25">
      <c r="A368" t="s">
        <v>504</v>
      </c>
      <c r="B368" s="5">
        <v>45797</v>
      </c>
      <c r="C368" t="s">
        <v>13</v>
      </c>
      <c r="D368" t="s">
        <v>177</v>
      </c>
      <c r="E368" t="s">
        <v>34</v>
      </c>
      <c r="F368">
        <v>4</v>
      </c>
      <c r="G368" s="1">
        <v>562.6</v>
      </c>
      <c r="H368" s="1">
        <v>312</v>
      </c>
      <c r="I368" s="5">
        <v>45799</v>
      </c>
      <c r="J368" t="s">
        <v>101</v>
      </c>
      <c r="K368" t="s">
        <v>47</v>
      </c>
      <c r="L368" t="s">
        <v>25</v>
      </c>
      <c r="M368" s="1">
        <f>(orders[[#This Row],[Revenue]]-orders[[#This Row],[Cost]])</f>
        <v>250.60000000000002</v>
      </c>
      <c r="N368" s="8">
        <f>IFERROR(orders[[#This Row],[profit]]/orders[[#This Row],[Revenue]],0)</f>
        <v>0.44543192321365094</v>
      </c>
      <c r="O368">
        <f>IF(orders[[#This Row],[Delivery Date]]="","",(orders[[#This Row],[Delivery Date]]-orders[[#This Row],[Date]]))</f>
        <v>2</v>
      </c>
      <c r="P368" t="str">
        <f>IF(orders[[#This Row],[delivery days]]="","Not Delivered",IF(orders[[#This Row],[delivery days]]&lt;=2,"Fast",IF(orders[[#This Row],[delivery days]]&lt;=5,"Normal","Delayed")))</f>
        <v>Fast</v>
      </c>
    </row>
    <row r="369" spans="1:16" x14ac:dyDescent="0.25">
      <c r="A369" t="s">
        <v>505</v>
      </c>
      <c r="B369" s="5">
        <v>45797</v>
      </c>
      <c r="C369" t="s">
        <v>181</v>
      </c>
      <c r="D369" t="s">
        <v>45</v>
      </c>
      <c r="E369" t="s">
        <v>34</v>
      </c>
      <c r="F369">
        <v>2</v>
      </c>
      <c r="G369" s="1">
        <v>144</v>
      </c>
      <c r="H369" s="1">
        <v>62</v>
      </c>
      <c r="I369" s="5">
        <v>45799</v>
      </c>
      <c r="J369" t="s">
        <v>30</v>
      </c>
      <c r="K369" t="s">
        <v>17</v>
      </c>
      <c r="L369" t="s">
        <v>25</v>
      </c>
      <c r="M369" s="1">
        <f>(orders[[#This Row],[Revenue]]-orders[[#This Row],[Cost]])</f>
        <v>82</v>
      </c>
      <c r="N369" s="8">
        <f>IFERROR(orders[[#This Row],[profit]]/orders[[#This Row],[Revenue]],0)</f>
        <v>0.56944444444444442</v>
      </c>
      <c r="O369">
        <f>IF(orders[[#This Row],[Delivery Date]]="","",(orders[[#This Row],[Delivery Date]]-orders[[#This Row],[Date]]))</f>
        <v>2</v>
      </c>
      <c r="P369" t="str">
        <f>IF(orders[[#This Row],[delivery days]]="","Not Delivered",IF(orders[[#This Row],[delivery days]]&lt;=2,"Fast",IF(orders[[#This Row],[delivery days]]&lt;=5,"Normal","Delayed")))</f>
        <v>Fast</v>
      </c>
    </row>
    <row r="370" spans="1:16" x14ac:dyDescent="0.25">
      <c r="A370" t="s">
        <v>506</v>
      </c>
      <c r="B370" s="5">
        <v>45797</v>
      </c>
      <c r="C370" t="s">
        <v>243</v>
      </c>
      <c r="D370" t="s">
        <v>159</v>
      </c>
      <c r="E370" t="s">
        <v>39</v>
      </c>
      <c r="F370">
        <v>2</v>
      </c>
      <c r="G370" s="1">
        <v>202.4</v>
      </c>
      <c r="H370" s="1">
        <v>124</v>
      </c>
      <c r="I370" s="5"/>
      <c r="J370" t="s">
        <v>30</v>
      </c>
      <c r="K370" t="s">
        <v>17</v>
      </c>
      <c r="L370" t="s">
        <v>42</v>
      </c>
      <c r="M370" s="1">
        <f>(orders[[#This Row],[Revenue]]-orders[[#This Row],[Cost]])</f>
        <v>78.400000000000006</v>
      </c>
      <c r="N370" s="8">
        <f>IFERROR(orders[[#This Row],[profit]]/orders[[#This Row],[Revenue]],0)</f>
        <v>0.38735177865612652</v>
      </c>
      <c r="O370" t="str">
        <f>IF(orders[[#This Row],[Delivery Date]]="","",(orders[[#This Row],[Delivery Date]]-orders[[#This Row],[Date]]))</f>
        <v/>
      </c>
      <c r="P370" t="str">
        <f>IF(orders[[#This Row],[delivery days]]="","Not Delivered",IF(orders[[#This Row],[delivery days]]&lt;=2,"Fast",IF(orders[[#This Row],[delivery days]]&lt;=5,"Normal","Delayed")))</f>
        <v>Not Delivered</v>
      </c>
    </row>
    <row r="371" spans="1:16" x14ac:dyDescent="0.25">
      <c r="A371" t="s">
        <v>507</v>
      </c>
      <c r="B371" s="5">
        <v>45798</v>
      </c>
      <c r="C371" t="s">
        <v>20</v>
      </c>
      <c r="D371" t="s">
        <v>108</v>
      </c>
      <c r="E371" t="s">
        <v>22</v>
      </c>
      <c r="F371">
        <v>1</v>
      </c>
      <c r="G371" s="1">
        <v>97.85</v>
      </c>
      <c r="H371" s="1">
        <v>42.84</v>
      </c>
      <c r="I371" s="5">
        <v>45799</v>
      </c>
      <c r="J371" t="s">
        <v>30</v>
      </c>
      <c r="K371" t="s">
        <v>35</v>
      </c>
      <c r="L371" t="s">
        <v>25</v>
      </c>
      <c r="M371" s="1">
        <f>(orders[[#This Row],[Revenue]]-orders[[#This Row],[Cost]])</f>
        <v>55.009999999999991</v>
      </c>
      <c r="N371" s="8">
        <f>IFERROR(orders[[#This Row],[profit]]/orders[[#This Row],[Revenue]],0)</f>
        <v>0.56218702095043427</v>
      </c>
      <c r="O371">
        <f>IF(orders[[#This Row],[Delivery Date]]="","",(orders[[#This Row],[Delivery Date]]-orders[[#This Row],[Date]]))</f>
        <v>1</v>
      </c>
      <c r="P371" t="str">
        <f>IF(orders[[#This Row],[delivery days]]="","Not Delivered",IF(orders[[#This Row],[delivery days]]&lt;=2,"Fast",IF(orders[[#This Row],[delivery days]]&lt;=5,"Normal","Delayed")))</f>
        <v>Fast</v>
      </c>
    </row>
    <row r="372" spans="1:16" x14ac:dyDescent="0.25">
      <c r="A372" t="s">
        <v>508</v>
      </c>
      <c r="B372" s="5">
        <v>45798</v>
      </c>
      <c r="C372" t="s">
        <v>161</v>
      </c>
      <c r="D372" t="s">
        <v>289</v>
      </c>
      <c r="E372" t="s">
        <v>22</v>
      </c>
      <c r="F372">
        <v>2</v>
      </c>
      <c r="G372" s="1">
        <v>114.08</v>
      </c>
      <c r="H372" s="1">
        <v>58</v>
      </c>
      <c r="I372" s="5">
        <v>45801</v>
      </c>
      <c r="J372" t="s">
        <v>30</v>
      </c>
      <c r="K372" t="s">
        <v>17</v>
      </c>
      <c r="L372" t="s">
        <v>25</v>
      </c>
      <c r="M372" s="1">
        <f>(orders[[#This Row],[Revenue]]-orders[[#This Row],[Cost]])</f>
        <v>56.08</v>
      </c>
      <c r="N372" s="8">
        <f>IFERROR(orders[[#This Row],[profit]]/orders[[#This Row],[Revenue]],0)</f>
        <v>0.49158485273492286</v>
      </c>
      <c r="O372">
        <f>IF(orders[[#This Row],[Delivery Date]]="","",(orders[[#This Row],[Delivery Date]]-orders[[#This Row],[Date]]))</f>
        <v>3</v>
      </c>
      <c r="P372" t="str">
        <f>IF(orders[[#This Row],[delivery days]]="","Not Delivered",IF(orders[[#This Row],[delivery days]]&lt;=2,"Fast",IF(orders[[#This Row],[delivery days]]&lt;=5,"Normal","Delayed")))</f>
        <v>Normal</v>
      </c>
    </row>
    <row r="373" spans="1:16" x14ac:dyDescent="0.25">
      <c r="A373" t="s">
        <v>509</v>
      </c>
      <c r="B373" s="5">
        <v>45798</v>
      </c>
      <c r="C373" t="s">
        <v>72</v>
      </c>
      <c r="D373" t="s">
        <v>86</v>
      </c>
      <c r="E373" t="s">
        <v>29</v>
      </c>
      <c r="F373">
        <v>1</v>
      </c>
      <c r="G373" s="1">
        <v>29</v>
      </c>
      <c r="H373" s="1">
        <v>12</v>
      </c>
      <c r="I373" s="5">
        <v>45799</v>
      </c>
      <c r="J373" t="s">
        <v>30</v>
      </c>
      <c r="K373" t="s">
        <v>35</v>
      </c>
      <c r="L373" t="s">
        <v>25</v>
      </c>
      <c r="M373" s="1">
        <f>(orders[[#This Row],[Revenue]]-orders[[#This Row],[Cost]])</f>
        <v>17</v>
      </c>
      <c r="N373" s="8">
        <f>IFERROR(orders[[#This Row],[profit]]/orders[[#This Row],[Revenue]],0)</f>
        <v>0.58620689655172409</v>
      </c>
      <c r="O373">
        <f>IF(orders[[#This Row],[Delivery Date]]="","",(orders[[#This Row],[Delivery Date]]-orders[[#This Row],[Date]]))</f>
        <v>1</v>
      </c>
      <c r="P373" t="str">
        <f>IF(orders[[#This Row],[delivery days]]="","Not Delivered",IF(orders[[#This Row],[delivery days]]&lt;=2,"Fast",IF(orders[[#This Row],[delivery days]]&lt;=5,"Normal","Delayed")))</f>
        <v>Fast</v>
      </c>
    </row>
    <row r="374" spans="1:16" x14ac:dyDescent="0.25">
      <c r="A374" t="s">
        <v>510</v>
      </c>
      <c r="B374" s="5">
        <v>45798</v>
      </c>
      <c r="C374" t="s">
        <v>92</v>
      </c>
      <c r="D374" t="s">
        <v>187</v>
      </c>
      <c r="E374" t="s">
        <v>15</v>
      </c>
      <c r="F374">
        <v>2</v>
      </c>
      <c r="G374" s="1">
        <v>70</v>
      </c>
      <c r="H374" s="1">
        <v>32.64</v>
      </c>
      <c r="I374" s="5">
        <v>45800</v>
      </c>
      <c r="J374" t="s">
        <v>46</v>
      </c>
      <c r="K374" t="s">
        <v>47</v>
      </c>
      <c r="L374" t="s">
        <v>25</v>
      </c>
      <c r="M374" s="1">
        <f>(orders[[#This Row],[Revenue]]-orders[[#This Row],[Cost]])</f>
        <v>37.36</v>
      </c>
      <c r="N374" s="8">
        <f>IFERROR(orders[[#This Row],[profit]]/orders[[#This Row],[Revenue]],0)</f>
        <v>0.5337142857142857</v>
      </c>
      <c r="O374">
        <f>IF(orders[[#This Row],[Delivery Date]]="","",(orders[[#This Row],[Delivery Date]]-orders[[#This Row],[Date]]))</f>
        <v>2</v>
      </c>
      <c r="P374" t="str">
        <f>IF(orders[[#This Row],[delivery days]]="","Not Delivered",IF(orders[[#This Row],[delivery days]]&lt;=2,"Fast",IF(orders[[#This Row],[delivery days]]&lt;=5,"Normal","Delayed")))</f>
        <v>Fast</v>
      </c>
    </row>
    <row r="375" spans="1:16" x14ac:dyDescent="0.25">
      <c r="A375" t="s">
        <v>511</v>
      </c>
      <c r="B375" s="5">
        <v>45798</v>
      </c>
      <c r="C375" t="s">
        <v>13</v>
      </c>
      <c r="D375" t="s">
        <v>76</v>
      </c>
      <c r="E375" t="s">
        <v>77</v>
      </c>
      <c r="F375">
        <v>1</v>
      </c>
      <c r="G375" s="1">
        <v>260</v>
      </c>
      <c r="H375" s="1">
        <v>165</v>
      </c>
      <c r="I375" s="5"/>
      <c r="J375" t="s">
        <v>16</v>
      </c>
      <c r="K375" t="s">
        <v>35</v>
      </c>
      <c r="L375" t="s">
        <v>42</v>
      </c>
      <c r="M375" s="1">
        <f>(orders[[#This Row],[Revenue]]-orders[[#This Row],[Cost]])</f>
        <v>95</v>
      </c>
      <c r="N375" s="8">
        <f>IFERROR(orders[[#This Row],[profit]]/orders[[#This Row],[Revenue]],0)</f>
        <v>0.36538461538461536</v>
      </c>
      <c r="O375" t="str">
        <f>IF(orders[[#This Row],[Delivery Date]]="","",(orders[[#This Row],[Delivery Date]]-orders[[#This Row],[Date]]))</f>
        <v/>
      </c>
      <c r="P375" t="str">
        <f>IF(orders[[#This Row],[delivery days]]="","Not Delivered",IF(orders[[#This Row],[delivery days]]&lt;=2,"Fast",IF(orders[[#This Row],[delivery days]]&lt;=5,"Normal","Delayed")))</f>
        <v>Not Delivered</v>
      </c>
    </row>
    <row r="376" spans="1:16" x14ac:dyDescent="0.25">
      <c r="A376" t="s">
        <v>512</v>
      </c>
      <c r="B376" s="5">
        <v>45800</v>
      </c>
      <c r="C376" t="s">
        <v>139</v>
      </c>
      <c r="D376" t="s">
        <v>14</v>
      </c>
      <c r="E376" t="s">
        <v>15</v>
      </c>
      <c r="F376">
        <v>4</v>
      </c>
      <c r="G376" s="1">
        <v>100</v>
      </c>
      <c r="H376" s="1">
        <v>36</v>
      </c>
      <c r="I376" s="5">
        <v>45801</v>
      </c>
      <c r="J376" t="s">
        <v>46</v>
      </c>
      <c r="K376" t="s">
        <v>47</v>
      </c>
      <c r="L376" t="s">
        <v>25</v>
      </c>
      <c r="M376" s="1">
        <f>(orders[[#This Row],[Revenue]]-orders[[#This Row],[Cost]])</f>
        <v>64</v>
      </c>
      <c r="N376" s="8">
        <f>IFERROR(orders[[#This Row],[profit]]/orders[[#This Row],[Revenue]],0)</f>
        <v>0.64</v>
      </c>
      <c r="O376">
        <f>IF(orders[[#This Row],[Delivery Date]]="","",(orders[[#This Row],[Delivery Date]]-orders[[#This Row],[Date]]))</f>
        <v>1</v>
      </c>
      <c r="P376" t="str">
        <f>IF(orders[[#This Row],[delivery days]]="","Not Delivered",IF(orders[[#This Row],[delivery days]]&lt;=2,"Fast",IF(orders[[#This Row],[delivery days]]&lt;=5,"Normal","Delayed")))</f>
        <v>Fast</v>
      </c>
    </row>
    <row r="377" spans="1:16" x14ac:dyDescent="0.25">
      <c r="A377" t="s">
        <v>513</v>
      </c>
      <c r="B377" s="5">
        <v>45802</v>
      </c>
      <c r="C377" t="s">
        <v>60</v>
      </c>
      <c r="D377" t="s">
        <v>179</v>
      </c>
      <c r="E377" t="s">
        <v>34</v>
      </c>
      <c r="F377">
        <v>2</v>
      </c>
      <c r="G377" s="1">
        <v>90</v>
      </c>
      <c r="H377" s="1">
        <v>37.24</v>
      </c>
      <c r="I377" s="5">
        <v>45804</v>
      </c>
      <c r="J377" t="s">
        <v>46</v>
      </c>
      <c r="K377" t="s">
        <v>47</v>
      </c>
      <c r="L377" t="s">
        <v>25</v>
      </c>
      <c r="M377" s="1">
        <f>(orders[[#This Row],[Revenue]]-orders[[#This Row],[Cost]])</f>
        <v>52.76</v>
      </c>
      <c r="N377" s="8">
        <f>IFERROR(orders[[#This Row],[profit]]/orders[[#This Row],[Revenue]],0)</f>
        <v>0.5862222222222222</v>
      </c>
      <c r="O377">
        <f>IF(orders[[#This Row],[Delivery Date]]="","",(orders[[#This Row],[Delivery Date]]-orders[[#This Row],[Date]]))</f>
        <v>2</v>
      </c>
      <c r="P377" t="str">
        <f>IF(orders[[#This Row],[delivery days]]="","Not Delivered",IF(orders[[#This Row],[delivery days]]&lt;=2,"Fast",IF(orders[[#This Row],[delivery days]]&lt;=5,"Normal","Delayed")))</f>
        <v>Fast</v>
      </c>
    </row>
    <row r="378" spans="1:16" x14ac:dyDescent="0.25">
      <c r="A378" t="s">
        <v>514</v>
      </c>
      <c r="B378" s="5">
        <v>45802</v>
      </c>
      <c r="C378" t="s">
        <v>174</v>
      </c>
      <c r="D378" t="s">
        <v>129</v>
      </c>
      <c r="E378" t="s">
        <v>39</v>
      </c>
      <c r="F378">
        <v>1</v>
      </c>
      <c r="G378" s="1">
        <v>110.4</v>
      </c>
      <c r="H378" s="1">
        <v>66.64</v>
      </c>
      <c r="I378" s="5">
        <v>45807</v>
      </c>
      <c r="J378" t="s">
        <v>16</v>
      </c>
      <c r="K378" t="s">
        <v>17</v>
      </c>
      <c r="L378" t="s">
        <v>25</v>
      </c>
      <c r="M378" s="1">
        <f>(orders[[#This Row],[Revenue]]-orders[[#This Row],[Cost]])</f>
        <v>43.760000000000005</v>
      </c>
      <c r="N378" s="8">
        <f>IFERROR(orders[[#This Row],[profit]]/orders[[#This Row],[Revenue]],0)</f>
        <v>0.3963768115942029</v>
      </c>
      <c r="O378">
        <f>IF(orders[[#This Row],[Delivery Date]]="","",(orders[[#This Row],[Delivery Date]]-orders[[#This Row],[Date]]))</f>
        <v>5</v>
      </c>
      <c r="P378" t="str">
        <f>IF(orders[[#This Row],[delivery days]]="","Not Delivered",IF(orders[[#This Row],[delivery days]]&lt;=2,"Fast",IF(orders[[#This Row],[delivery days]]&lt;=5,"Normal","Delayed")))</f>
        <v>Normal</v>
      </c>
    </row>
    <row r="379" spans="1:16" x14ac:dyDescent="0.25">
      <c r="A379" t="s">
        <v>515</v>
      </c>
      <c r="B379" s="5">
        <v>45802</v>
      </c>
      <c r="C379" t="s">
        <v>79</v>
      </c>
      <c r="D379" t="s">
        <v>179</v>
      </c>
      <c r="E379" t="s">
        <v>34</v>
      </c>
      <c r="F379">
        <v>1</v>
      </c>
      <c r="G379" s="1">
        <v>48.6</v>
      </c>
      <c r="H379" s="1">
        <v>19</v>
      </c>
      <c r="I379" s="5">
        <v>45803</v>
      </c>
      <c r="J379" t="s">
        <v>30</v>
      </c>
      <c r="K379" t="s">
        <v>35</v>
      </c>
      <c r="L379" t="s">
        <v>25</v>
      </c>
      <c r="M379" s="1">
        <f>(orders[[#This Row],[Revenue]]-orders[[#This Row],[Cost]])</f>
        <v>29.6</v>
      </c>
      <c r="N379" s="8">
        <f>IFERROR(orders[[#This Row],[profit]]/orders[[#This Row],[Revenue]],0)</f>
        <v>0.60905349794238683</v>
      </c>
      <c r="O379">
        <f>IF(orders[[#This Row],[Delivery Date]]="","",(orders[[#This Row],[Delivery Date]]-orders[[#This Row],[Date]]))</f>
        <v>1</v>
      </c>
      <c r="P379" t="str">
        <f>IF(orders[[#This Row],[delivery days]]="","Not Delivered",IF(orders[[#This Row],[delivery days]]&lt;=2,"Fast",IF(orders[[#This Row],[delivery days]]&lt;=5,"Normal","Delayed")))</f>
        <v>Fast</v>
      </c>
    </row>
    <row r="380" spans="1:16" x14ac:dyDescent="0.25">
      <c r="A380" t="s">
        <v>516</v>
      </c>
      <c r="B380" s="5">
        <v>45802</v>
      </c>
      <c r="C380" t="s">
        <v>60</v>
      </c>
      <c r="D380" t="s">
        <v>38</v>
      </c>
      <c r="E380" t="s">
        <v>39</v>
      </c>
      <c r="F380">
        <v>2</v>
      </c>
      <c r="G380" s="1">
        <v>1700</v>
      </c>
      <c r="H380" s="1">
        <v>1220</v>
      </c>
      <c r="I380" s="5"/>
      <c r="J380" t="s">
        <v>23</v>
      </c>
      <c r="K380" t="s">
        <v>24</v>
      </c>
      <c r="L380" t="s">
        <v>42</v>
      </c>
      <c r="M380" s="1">
        <f>(orders[[#This Row],[Revenue]]-orders[[#This Row],[Cost]])</f>
        <v>480</v>
      </c>
      <c r="N380" s="8">
        <f>IFERROR(orders[[#This Row],[profit]]/orders[[#This Row],[Revenue]],0)</f>
        <v>0.28235294117647058</v>
      </c>
      <c r="O380" t="str">
        <f>IF(orders[[#This Row],[Delivery Date]]="","",(orders[[#This Row],[Delivery Date]]-orders[[#This Row],[Date]]))</f>
        <v/>
      </c>
      <c r="P380" t="str">
        <f>IF(orders[[#This Row],[delivery days]]="","Not Delivered",IF(orders[[#This Row],[delivery days]]&lt;=2,"Fast",IF(orders[[#This Row],[delivery days]]&lt;=5,"Normal","Delayed")))</f>
        <v>Not Delivered</v>
      </c>
    </row>
    <row r="381" spans="1:16" x14ac:dyDescent="0.25">
      <c r="A381" t="s">
        <v>517</v>
      </c>
      <c r="B381" s="5">
        <v>45804</v>
      </c>
      <c r="C381" t="s">
        <v>90</v>
      </c>
      <c r="D381" t="s">
        <v>129</v>
      </c>
      <c r="E381" t="s">
        <v>39</v>
      </c>
      <c r="F381">
        <v>1</v>
      </c>
      <c r="G381" s="1">
        <v>120</v>
      </c>
      <c r="H381" s="1">
        <v>66.64</v>
      </c>
      <c r="I381" s="5">
        <v>45807</v>
      </c>
      <c r="J381" t="s">
        <v>30</v>
      </c>
      <c r="K381" t="s">
        <v>35</v>
      </c>
      <c r="L381" t="s">
        <v>25</v>
      </c>
      <c r="M381" s="1">
        <f>(orders[[#This Row],[Revenue]]-orders[[#This Row],[Cost]])</f>
        <v>53.36</v>
      </c>
      <c r="N381" s="8">
        <f>IFERROR(orders[[#This Row],[profit]]/orders[[#This Row],[Revenue]],0)</f>
        <v>0.44466666666666665</v>
      </c>
      <c r="O381">
        <f>IF(orders[[#This Row],[Delivery Date]]="","",(orders[[#This Row],[Delivery Date]]-orders[[#This Row],[Date]]))</f>
        <v>3</v>
      </c>
      <c r="P381" t="str">
        <f>IF(orders[[#This Row],[delivery days]]="","Not Delivered",IF(orders[[#This Row],[delivery days]]&lt;=2,"Fast",IF(orders[[#This Row],[delivery days]]&lt;=5,"Normal","Delayed")))</f>
        <v>Normal</v>
      </c>
    </row>
    <row r="382" spans="1:16" x14ac:dyDescent="0.25">
      <c r="A382" t="s">
        <v>518</v>
      </c>
      <c r="B382" s="5">
        <v>45805</v>
      </c>
      <c r="C382" t="s">
        <v>278</v>
      </c>
      <c r="D382" t="s">
        <v>153</v>
      </c>
      <c r="E382" t="s">
        <v>34</v>
      </c>
      <c r="F382">
        <v>2</v>
      </c>
      <c r="G382" s="1">
        <v>131.91999999999999</v>
      </c>
      <c r="H382" s="1">
        <v>64</v>
      </c>
      <c r="I382" s="5">
        <v>45808</v>
      </c>
      <c r="J382" t="s">
        <v>30</v>
      </c>
      <c r="K382" t="s">
        <v>17</v>
      </c>
      <c r="L382" t="s">
        <v>25</v>
      </c>
      <c r="M382" s="1">
        <f>(orders[[#This Row],[Revenue]]-orders[[#This Row],[Cost]])</f>
        <v>67.919999999999987</v>
      </c>
      <c r="N382" s="8">
        <f>IFERROR(orders[[#This Row],[profit]]/orders[[#This Row],[Revenue]],0)</f>
        <v>0.51485748938750753</v>
      </c>
      <c r="O382">
        <f>IF(orders[[#This Row],[Delivery Date]]="","",(orders[[#This Row],[Delivery Date]]-orders[[#This Row],[Date]]))</f>
        <v>3</v>
      </c>
      <c r="P382" t="str">
        <f>IF(orders[[#This Row],[delivery days]]="","Not Delivered",IF(orders[[#This Row],[delivery days]]&lt;=2,"Fast",IF(orders[[#This Row],[delivery days]]&lt;=5,"Normal","Delayed")))</f>
        <v>Normal</v>
      </c>
    </row>
    <row r="383" spans="1:16" x14ac:dyDescent="0.25">
      <c r="A383" t="s">
        <v>519</v>
      </c>
      <c r="B383" s="5">
        <v>45805</v>
      </c>
      <c r="C383" t="s">
        <v>13</v>
      </c>
      <c r="D383" t="s">
        <v>58</v>
      </c>
      <c r="E383" t="s">
        <v>39</v>
      </c>
      <c r="F383">
        <v>4</v>
      </c>
      <c r="G383" s="1">
        <v>5400</v>
      </c>
      <c r="H383" s="1">
        <v>3600</v>
      </c>
      <c r="I383" s="5">
        <v>45806</v>
      </c>
      <c r="J383" t="s">
        <v>101</v>
      </c>
      <c r="K383" t="s">
        <v>35</v>
      </c>
      <c r="L383" t="s">
        <v>25</v>
      </c>
      <c r="M383" s="1">
        <f>(orders[[#This Row],[Revenue]]-orders[[#This Row],[Cost]])</f>
        <v>1800</v>
      </c>
      <c r="N383" s="8">
        <f>IFERROR(orders[[#This Row],[profit]]/orders[[#This Row],[Revenue]],0)</f>
        <v>0.33333333333333331</v>
      </c>
      <c r="O383">
        <f>IF(orders[[#This Row],[Delivery Date]]="","",(orders[[#This Row],[Delivery Date]]-orders[[#This Row],[Date]]))</f>
        <v>1</v>
      </c>
      <c r="P383" t="str">
        <f>IF(orders[[#This Row],[delivery days]]="","Not Delivered",IF(orders[[#This Row],[delivery days]]&lt;=2,"Fast",IF(orders[[#This Row],[delivery days]]&lt;=5,"Normal","Delayed")))</f>
        <v>Fast</v>
      </c>
    </row>
    <row r="384" spans="1:16" x14ac:dyDescent="0.25">
      <c r="A384" t="s">
        <v>520</v>
      </c>
      <c r="B384" s="5">
        <v>45806</v>
      </c>
      <c r="C384" t="s">
        <v>107</v>
      </c>
      <c r="D384" t="s">
        <v>308</v>
      </c>
      <c r="E384" t="s">
        <v>22</v>
      </c>
      <c r="F384">
        <v>1</v>
      </c>
      <c r="G384" s="1">
        <v>77.25</v>
      </c>
      <c r="H384" s="1">
        <v>33.32</v>
      </c>
      <c r="I384" s="5">
        <v>45809</v>
      </c>
      <c r="J384" t="s">
        <v>46</v>
      </c>
      <c r="K384" t="s">
        <v>24</v>
      </c>
      <c r="L384" t="s">
        <v>25</v>
      </c>
      <c r="M384" s="1">
        <f>(orders[[#This Row],[Revenue]]-orders[[#This Row],[Cost]])</f>
        <v>43.93</v>
      </c>
      <c r="N384" s="8">
        <f>IFERROR(orders[[#This Row],[profit]]/orders[[#This Row],[Revenue]],0)</f>
        <v>0.56867313915857609</v>
      </c>
      <c r="O384">
        <f>IF(orders[[#This Row],[Delivery Date]]="","",(orders[[#This Row],[Delivery Date]]-orders[[#This Row],[Date]]))</f>
        <v>3</v>
      </c>
      <c r="P384" t="str">
        <f>IF(orders[[#This Row],[delivery days]]="","Not Delivered",IF(orders[[#This Row],[delivery days]]&lt;=2,"Fast",IF(orders[[#This Row],[delivery days]]&lt;=5,"Normal","Delayed")))</f>
        <v>Normal</v>
      </c>
    </row>
    <row r="385" spans="1:16" x14ac:dyDescent="0.25">
      <c r="A385" t="s">
        <v>521</v>
      </c>
      <c r="B385" s="5">
        <v>45806</v>
      </c>
      <c r="C385" t="s">
        <v>124</v>
      </c>
      <c r="D385" t="s">
        <v>308</v>
      </c>
      <c r="E385" t="s">
        <v>22</v>
      </c>
      <c r="F385">
        <v>1</v>
      </c>
      <c r="G385" s="1">
        <v>72.75</v>
      </c>
      <c r="H385" s="1">
        <v>34</v>
      </c>
      <c r="I385" s="5">
        <v>45809</v>
      </c>
      <c r="J385" t="s">
        <v>101</v>
      </c>
      <c r="K385" t="s">
        <v>35</v>
      </c>
      <c r="L385" t="s">
        <v>25</v>
      </c>
      <c r="M385" s="1">
        <f>(orders[[#This Row],[Revenue]]-orders[[#This Row],[Cost]])</f>
        <v>38.75</v>
      </c>
      <c r="N385" s="8">
        <f>IFERROR(orders[[#This Row],[profit]]/orders[[#This Row],[Revenue]],0)</f>
        <v>0.53264604810996563</v>
      </c>
      <c r="O385">
        <f>IF(orders[[#This Row],[Delivery Date]]="","",(orders[[#This Row],[Delivery Date]]-orders[[#This Row],[Date]]))</f>
        <v>3</v>
      </c>
      <c r="P385" t="str">
        <f>IF(orders[[#This Row],[delivery days]]="","Not Delivered",IF(orders[[#This Row],[delivery days]]&lt;=2,"Fast",IF(orders[[#This Row],[delivery days]]&lt;=5,"Normal","Delayed")))</f>
        <v>Normal</v>
      </c>
    </row>
    <row r="386" spans="1:16" x14ac:dyDescent="0.25">
      <c r="A386" t="s">
        <v>522</v>
      </c>
      <c r="B386" s="5">
        <v>45807</v>
      </c>
      <c r="C386" t="s">
        <v>37</v>
      </c>
      <c r="D386" t="s">
        <v>127</v>
      </c>
      <c r="E386" t="s">
        <v>29</v>
      </c>
      <c r="F386">
        <v>2</v>
      </c>
      <c r="G386" s="1">
        <v>36</v>
      </c>
      <c r="H386" s="1">
        <v>12</v>
      </c>
      <c r="I386" s="5">
        <v>45812</v>
      </c>
      <c r="J386" t="s">
        <v>46</v>
      </c>
      <c r="K386" t="s">
        <v>24</v>
      </c>
      <c r="L386" t="s">
        <v>25</v>
      </c>
      <c r="M386" s="1">
        <f>(orders[[#This Row],[Revenue]]-orders[[#This Row],[Cost]])</f>
        <v>24</v>
      </c>
      <c r="N386" s="8">
        <f>IFERROR(orders[[#This Row],[profit]]/orders[[#This Row],[Revenue]],0)</f>
        <v>0.66666666666666663</v>
      </c>
      <c r="O386">
        <f>IF(orders[[#This Row],[Delivery Date]]="","",(orders[[#This Row],[Delivery Date]]-orders[[#This Row],[Date]]))</f>
        <v>5</v>
      </c>
      <c r="P386" t="str">
        <f>IF(orders[[#This Row],[delivery days]]="","Not Delivered",IF(orders[[#This Row],[delivery days]]&lt;=2,"Fast",IF(orders[[#This Row],[delivery days]]&lt;=5,"Normal","Delayed")))</f>
        <v>Normal</v>
      </c>
    </row>
    <row r="387" spans="1:16" x14ac:dyDescent="0.25">
      <c r="A387" t="s">
        <v>523</v>
      </c>
      <c r="B387" s="5">
        <v>45807</v>
      </c>
      <c r="C387" t="s">
        <v>487</v>
      </c>
      <c r="D387" t="s">
        <v>110</v>
      </c>
      <c r="E387" t="s">
        <v>39</v>
      </c>
      <c r="F387">
        <v>1</v>
      </c>
      <c r="G387" s="1">
        <v>210</v>
      </c>
      <c r="H387" s="1">
        <v>125</v>
      </c>
      <c r="I387" s="5">
        <v>45809</v>
      </c>
      <c r="J387" t="s">
        <v>30</v>
      </c>
      <c r="K387" t="s">
        <v>35</v>
      </c>
      <c r="L387" t="s">
        <v>25</v>
      </c>
      <c r="M387" s="1">
        <f>(orders[[#This Row],[Revenue]]-orders[[#This Row],[Cost]])</f>
        <v>85</v>
      </c>
      <c r="N387" s="8">
        <f>IFERROR(orders[[#This Row],[profit]]/orders[[#This Row],[Revenue]],0)</f>
        <v>0.40476190476190477</v>
      </c>
      <c r="O387">
        <f>IF(orders[[#This Row],[Delivery Date]]="","",(orders[[#This Row],[Delivery Date]]-orders[[#This Row],[Date]]))</f>
        <v>2</v>
      </c>
      <c r="P387" t="str">
        <f>IF(orders[[#This Row],[delivery days]]="","Not Delivered",IF(orders[[#This Row],[delivery days]]&lt;=2,"Fast",IF(orders[[#This Row],[delivery days]]&lt;=5,"Normal","Delayed")))</f>
        <v>Fast</v>
      </c>
    </row>
    <row r="388" spans="1:16" x14ac:dyDescent="0.25">
      <c r="A388" t="s">
        <v>524</v>
      </c>
      <c r="B388" s="5">
        <v>45807</v>
      </c>
      <c r="C388" t="s">
        <v>72</v>
      </c>
      <c r="D388" t="s">
        <v>208</v>
      </c>
      <c r="E388" t="s">
        <v>15</v>
      </c>
      <c r="F388">
        <v>2</v>
      </c>
      <c r="G388" s="1">
        <v>260</v>
      </c>
      <c r="H388" s="1">
        <v>148.96</v>
      </c>
      <c r="I388" s="5">
        <v>45808</v>
      </c>
      <c r="J388" t="s">
        <v>16</v>
      </c>
      <c r="K388" t="s">
        <v>17</v>
      </c>
      <c r="L388" t="s">
        <v>25</v>
      </c>
      <c r="M388" s="1">
        <f>(orders[[#This Row],[Revenue]]-orders[[#This Row],[Cost]])</f>
        <v>111.03999999999999</v>
      </c>
      <c r="N388" s="8">
        <f>IFERROR(orders[[#This Row],[profit]]/orders[[#This Row],[Revenue]],0)</f>
        <v>0.42707692307692302</v>
      </c>
      <c r="O388">
        <f>IF(orders[[#This Row],[Delivery Date]]="","",(orders[[#This Row],[Delivery Date]]-orders[[#This Row],[Date]]))</f>
        <v>1</v>
      </c>
      <c r="P388" t="str">
        <f>IF(orders[[#This Row],[delivery days]]="","Not Delivered",IF(orders[[#This Row],[delivery days]]&lt;=2,"Fast",IF(orders[[#This Row],[delivery days]]&lt;=5,"Normal","Delayed")))</f>
        <v>Fast</v>
      </c>
    </row>
    <row r="389" spans="1:16" x14ac:dyDescent="0.25">
      <c r="A389" t="s">
        <v>525</v>
      </c>
      <c r="B389" s="5">
        <v>45808</v>
      </c>
      <c r="C389" t="s">
        <v>92</v>
      </c>
      <c r="D389" t="s">
        <v>266</v>
      </c>
      <c r="E389" t="s">
        <v>22</v>
      </c>
      <c r="F389">
        <v>1</v>
      </c>
      <c r="G389" s="1">
        <v>16.559999999999999</v>
      </c>
      <c r="H389" s="1">
        <v>7</v>
      </c>
      <c r="I389" s="5">
        <v>45809</v>
      </c>
      <c r="J389" t="s">
        <v>30</v>
      </c>
      <c r="K389" t="s">
        <v>35</v>
      </c>
      <c r="L389" t="s">
        <v>25</v>
      </c>
      <c r="M389" s="1">
        <f>(orders[[#This Row],[Revenue]]-orders[[#This Row],[Cost]])</f>
        <v>9.5599999999999987</v>
      </c>
      <c r="N389" s="8">
        <f>IFERROR(orders[[#This Row],[profit]]/orders[[#This Row],[Revenue]],0)</f>
        <v>0.57729468599033817</v>
      </c>
      <c r="O389">
        <f>IF(orders[[#This Row],[Delivery Date]]="","",(orders[[#This Row],[Delivery Date]]-orders[[#This Row],[Date]]))</f>
        <v>1</v>
      </c>
      <c r="P389" t="str">
        <f>IF(orders[[#This Row],[delivery days]]="","Not Delivered",IF(orders[[#This Row],[delivery days]]&lt;=2,"Fast",IF(orders[[#This Row],[delivery days]]&lt;=5,"Normal","Delayed")))</f>
        <v>Fast</v>
      </c>
    </row>
    <row r="390" spans="1:16" x14ac:dyDescent="0.25">
      <c r="A390" t="s">
        <v>526</v>
      </c>
      <c r="B390" s="5">
        <v>45808</v>
      </c>
      <c r="C390" t="s">
        <v>325</v>
      </c>
      <c r="D390" t="s">
        <v>300</v>
      </c>
      <c r="E390" t="s">
        <v>77</v>
      </c>
      <c r="F390">
        <v>1</v>
      </c>
      <c r="G390" s="1">
        <v>390</v>
      </c>
      <c r="H390" s="1">
        <v>245</v>
      </c>
      <c r="I390" s="5">
        <v>45815</v>
      </c>
      <c r="J390" t="s">
        <v>52</v>
      </c>
      <c r="K390" t="s">
        <v>24</v>
      </c>
      <c r="L390" t="s">
        <v>25</v>
      </c>
      <c r="M390" s="1">
        <f>(orders[[#This Row],[Revenue]]-orders[[#This Row],[Cost]])</f>
        <v>145</v>
      </c>
      <c r="N390" s="8">
        <f>IFERROR(orders[[#This Row],[profit]]/orders[[#This Row],[Revenue]],0)</f>
        <v>0.37179487179487181</v>
      </c>
      <c r="O390">
        <f>IF(orders[[#This Row],[Delivery Date]]="","",(orders[[#This Row],[Delivery Date]]-orders[[#This Row],[Date]]))</f>
        <v>7</v>
      </c>
      <c r="P390" t="str">
        <f>IF(orders[[#This Row],[delivery days]]="","Not Delivered",IF(orders[[#This Row],[delivery days]]&lt;=2,"Fast",IF(orders[[#This Row],[delivery days]]&lt;=5,"Normal","Delayed")))</f>
        <v>Delayed</v>
      </c>
    </row>
    <row r="391" spans="1:16" x14ac:dyDescent="0.25">
      <c r="A391" t="s">
        <v>527</v>
      </c>
      <c r="B391" s="5">
        <v>45808</v>
      </c>
      <c r="C391" t="s">
        <v>94</v>
      </c>
      <c r="D391" t="s">
        <v>110</v>
      </c>
      <c r="E391" t="s">
        <v>39</v>
      </c>
      <c r="F391">
        <v>3</v>
      </c>
      <c r="G391" s="1">
        <v>630</v>
      </c>
      <c r="H391" s="1">
        <v>375</v>
      </c>
      <c r="I391" s="5">
        <v>45812</v>
      </c>
      <c r="J391" t="s">
        <v>23</v>
      </c>
      <c r="K391" t="s">
        <v>24</v>
      </c>
      <c r="L391" t="s">
        <v>25</v>
      </c>
      <c r="M391" s="1">
        <f>(orders[[#This Row],[Revenue]]-orders[[#This Row],[Cost]])</f>
        <v>255</v>
      </c>
      <c r="N391" s="8">
        <f>IFERROR(orders[[#This Row],[profit]]/orders[[#This Row],[Revenue]],0)</f>
        <v>0.40476190476190477</v>
      </c>
      <c r="O391">
        <f>IF(orders[[#This Row],[Delivery Date]]="","",(orders[[#This Row],[Delivery Date]]-orders[[#This Row],[Date]]))</f>
        <v>4</v>
      </c>
      <c r="P391" t="str">
        <f>IF(orders[[#This Row],[delivery days]]="","Not Delivered",IF(orders[[#This Row],[delivery days]]&lt;=2,"Fast",IF(orders[[#This Row],[delivery days]]&lt;=5,"Normal","Delayed")))</f>
        <v>Normal</v>
      </c>
    </row>
    <row r="392" spans="1:16" x14ac:dyDescent="0.25">
      <c r="A392" t="s">
        <v>528</v>
      </c>
      <c r="B392" s="5">
        <v>45809</v>
      </c>
      <c r="C392" t="s">
        <v>259</v>
      </c>
      <c r="D392" t="s">
        <v>51</v>
      </c>
      <c r="E392" t="s">
        <v>34</v>
      </c>
      <c r="F392">
        <v>1</v>
      </c>
      <c r="G392" s="1">
        <v>85</v>
      </c>
      <c r="H392" s="1">
        <v>42</v>
      </c>
      <c r="I392" s="5">
        <v>45811</v>
      </c>
      <c r="J392" t="s">
        <v>30</v>
      </c>
      <c r="K392" t="s">
        <v>17</v>
      </c>
      <c r="L392" t="s">
        <v>25</v>
      </c>
      <c r="M392" s="1">
        <f>(orders[[#This Row],[Revenue]]-orders[[#This Row],[Cost]])</f>
        <v>43</v>
      </c>
      <c r="N392" s="8">
        <f>IFERROR(orders[[#This Row],[profit]]/orders[[#This Row],[Revenue]],0)</f>
        <v>0.50588235294117645</v>
      </c>
      <c r="O392">
        <f>IF(orders[[#This Row],[Delivery Date]]="","",(orders[[#This Row],[Delivery Date]]-orders[[#This Row],[Date]]))</f>
        <v>2</v>
      </c>
      <c r="P392" t="str">
        <f>IF(orders[[#This Row],[delivery days]]="","Not Delivered",IF(orders[[#This Row],[delivery days]]&lt;=2,"Fast",IF(orders[[#This Row],[delivery days]]&lt;=5,"Normal","Delayed")))</f>
        <v>Fast</v>
      </c>
    </row>
    <row r="393" spans="1:16" x14ac:dyDescent="0.25">
      <c r="A393" t="s">
        <v>529</v>
      </c>
      <c r="B393" s="5">
        <v>45809</v>
      </c>
      <c r="C393" t="s">
        <v>107</v>
      </c>
      <c r="D393" t="s">
        <v>163</v>
      </c>
      <c r="E393" t="s">
        <v>39</v>
      </c>
      <c r="F393">
        <v>1</v>
      </c>
      <c r="G393" s="1">
        <v>95</v>
      </c>
      <c r="H393" s="1">
        <v>50.96</v>
      </c>
      <c r="I393" s="5">
        <v>45813</v>
      </c>
      <c r="J393" t="s">
        <v>16</v>
      </c>
      <c r="K393" t="s">
        <v>17</v>
      </c>
      <c r="L393" t="s">
        <v>25</v>
      </c>
      <c r="M393" s="1">
        <f>(orders[[#This Row],[Revenue]]-orders[[#This Row],[Cost]])</f>
        <v>44.04</v>
      </c>
      <c r="N393" s="8">
        <f>IFERROR(orders[[#This Row],[profit]]/orders[[#This Row],[Revenue]],0)</f>
        <v>0.46357894736842103</v>
      </c>
      <c r="O393">
        <f>IF(orders[[#This Row],[Delivery Date]]="","",(orders[[#This Row],[Delivery Date]]-orders[[#This Row],[Date]]))</f>
        <v>4</v>
      </c>
      <c r="P393" t="str">
        <f>IF(orders[[#This Row],[delivery days]]="","Not Delivered",IF(orders[[#This Row],[delivery days]]&lt;=2,"Fast",IF(orders[[#This Row],[delivery days]]&lt;=5,"Normal","Delayed")))</f>
        <v>Normal</v>
      </c>
    </row>
    <row r="394" spans="1:16" x14ac:dyDescent="0.25">
      <c r="A394" t="s">
        <v>530</v>
      </c>
      <c r="B394" s="5">
        <v>45810</v>
      </c>
      <c r="C394" t="s">
        <v>72</v>
      </c>
      <c r="D394" t="s">
        <v>215</v>
      </c>
      <c r="E394" t="s">
        <v>62</v>
      </c>
      <c r="F394">
        <v>4</v>
      </c>
      <c r="G394" s="1">
        <v>880</v>
      </c>
      <c r="H394" s="1">
        <v>579.36</v>
      </c>
      <c r="I394" s="5">
        <v>45812</v>
      </c>
      <c r="J394" t="s">
        <v>16</v>
      </c>
      <c r="K394" t="s">
        <v>35</v>
      </c>
      <c r="L394" t="s">
        <v>25</v>
      </c>
      <c r="M394" s="1">
        <f>(orders[[#This Row],[Revenue]]-orders[[#This Row],[Cost]])</f>
        <v>300.64</v>
      </c>
      <c r="N394" s="8">
        <f>IFERROR(orders[[#This Row],[profit]]/orders[[#This Row],[Revenue]],0)</f>
        <v>0.34163636363636363</v>
      </c>
      <c r="O394">
        <f>IF(orders[[#This Row],[Delivery Date]]="","",(orders[[#This Row],[Delivery Date]]-orders[[#This Row],[Date]]))</f>
        <v>2</v>
      </c>
      <c r="P394" t="str">
        <f>IF(orders[[#This Row],[delivery days]]="","Not Delivered",IF(orders[[#This Row],[delivery days]]&lt;=2,"Fast",IF(orders[[#This Row],[delivery days]]&lt;=5,"Normal","Delayed")))</f>
        <v>Fast</v>
      </c>
    </row>
    <row r="395" spans="1:16" x14ac:dyDescent="0.25">
      <c r="A395" t="s">
        <v>531</v>
      </c>
      <c r="B395" s="5">
        <v>45810</v>
      </c>
      <c r="C395" t="s">
        <v>139</v>
      </c>
      <c r="D395" t="s">
        <v>110</v>
      </c>
      <c r="E395" t="s">
        <v>39</v>
      </c>
      <c r="F395">
        <v>3</v>
      </c>
      <c r="G395" s="1">
        <v>648.9</v>
      </c>
      <c r="H395" s="1">
        <v>375</v>
      </c>
      <c r="I395" s="5"/>
      <c r="J395" t="s">
        <v>46</v>
      </c>
      <c r="K395" t="s">
        <v>24</v>
      </c>
      <c r="L395" t="s">
        <v>42</v>
      </c>
      <c r="M395" s="1">
        <f>(orders[[#This Row],[Revenue]]-orders[[#This Row],[Cost]])</f>
        <v>273.89999999999998</v>
      </c>
      <c r="N395" s="8">
        <f>IFERROR(orders[[#This Row],[profit]]/orders[[#This Row],[Revenue]],0)</f>
        <v>0.42209893666204346</v>
      </c>
      <c r="O395" t="str">
        <f>IF(orders[[#This Row],[Delivery Date]]="","",(orders[[#This Row],[Delivery Date]]-orders[[#This Row],[Date]]))</f>
        <v/>
      </c>
      <c r="P395" t="str">
        <f>IF(orders[[#This Row],[delivery days]]="","Not Delivered",IF(orders[[#This Row],[delivery days]]&lt;=2,"Fast",IF(orders[[#This Row],[delivery days]]&lt;=5,"Normal","Delayed")))</f>
        <v>Not Delivered</v>
      </c>
    </row>
    <row r="396" spans="1:16" x14ac:dyDescent="0.25">
      <c r="A396" t="s">
        <v>532</v>
      </c>
      <c r="B396" s="5">
        <v>45810</v>
      </c>
      <c r="C396" t="s">
        <v>181</v>
      </c>
      <c r="D396" t="s">
        <v>129</v>
      </c>
      <c r="E396" t="s">
        <v>39</v>
      </c>
      <c r="F396">
        <v>2</v>
      </c>
      <c r="G396" s="1">
        <v>220.8</v>
      </c>
      <c r="H396" s="1">
        <v>133.28</v>
      </c>
      <c r="I396" s="5">
        <v>45811</v>
      </c>
      <c r="J396" t="s">
        <v>30</v>
      </c>
      <c r="K396" t="s">
        <v>35</v>
      </c>
      <c r="L396" t="s">
        <v>18</v>
      </c>
      <c r="M396" s="1">
        <f>(orders[[#This Row],[Revenue]]-orders[[#This Row],[Cost]])</f>
        <v>87.52000000000001</v>
      </c>
      <c r="N396" s="8">
        <f>IFERROR(orders[[#This Row],[profit]]/orders[[#This Row],[Revenue]],0)</f>
        <v>0.3963768115942029</v>
      </c>
      <c r="O396">
        <f>IF(orders[[#This Row],[Delivery Date]]="","",(orders[[#This Row],[Delivery Date]]-orders[[#This Row],[Date]]))</f>
        <v>1</v>
      </c>
      <c r="P396" t="str">
        <f>IF(orders[[#This Row],[delivery days]]="","Not Delivered",IF(orders[[#This Row],[delivery days]]&lt;=2,"Fast",IF(orders[[#This Row],[delivery days]]&lt;=5,"Normal","Delayed")))</f>
        <v>Fast</v>
      </c>
    </row>
    <row r="397" spans="1:16" x14ac:dyDescent="0.25">
      <c r="A397" t="s">
        <v>533</v>
      </c>
      <c r="B397" s="5">
        <v>45811</v>
      </c>
      <c r="C397" t="s">
        <v>99</v>
      </c>
      <c r="D397" t="s">
        <v>129</v>
      </c>
      <c r="E397" t="s">
        <v>39</v>
      </c>
      <c r="F397">
        <v>1</v>
      </c>
      <c r="G397" s="1">
        <v>120</v>
      </c>
      <c r="H397" s="1">
        <v>68</v>
      </c>
      <c r="I397" s="5">
        <v>45815</v>
      </c>
      <c r="J397" t="s">
        <v>16</v>
      </c>
      <c r="K397" t="s">
        <v>17</v>
      </c>
      <c r="L397" t="s">
        <v>25</v>
      </c>
      <c r="M397" s="1">
        <f>(orders[[#This Row],[Revenue]]-orders[[#This Row],[Cost]])</f>
        <v>52</v>
      </c>
      <c r="N397" s="8">
        <f>IFERROR(orders[[#This Row],[profit]]/orders[[#This Row],[Revenue]],0)</f>
        <v>0.43333333333333335</v>
      </c>
      <c r="O397">
        <f>IF(orders[[#This Row],[Delivery Date]]="","",(orders[[#This Row],[Delivery Date]]-orders[[#This Row],[Date]]))</f>
        <v>4</v>
      </c>
      <c r="P397" t="str">
        <f>IF(orders[[#This Row],[delivery days]]="","Not Delivered",IF(orders[[#This Row],[delivery days]]&lt;=2,"Fast",IF(orders[[#This Row],[delivery days]]&lt;=5,"Normal","Delayed")))</f>
        <v>Normal</v>
      </c>
    </row>
    <row r="398" spans="1:16" x14ac:dyDescent="0.25">
      <c r="A398" t="s">
        <v>534</v>
      </c>
      <c r="B398" s="5">
        <v>45811</v>
      </c>
      <c r="C398" t="s">
        <v>64</v>
      </c>
      <c r="D398" t="s">
        <v>179</v>
      </c>
      <c r="E398" t="s">
        <v>34</v>
      </c>
      <c r="F398">
        <v>4</v>
      </c>
      <c r="G398" s="1">
        <v>185.4</v>
      </c>
      <c r="H398" s="1">
        <v>76</v>
      </c>
      <c r="I398" s="5">
        <v>45813</v>
      </c>
      <c r="J398" t="s">
        <v>46</v>
      </c>
      <c r="K398" t="s">
        <v>47</v>
      </c>
      <c r="L398" t="s">
        <v>25</v>
      </c>
      <c r="M398" s="1">
        <f>(orders[[#This Row],[Revenue]]-orders[[#This Row],[Cost]])</f>
        <v>109.4</v>
      </c>
      <c r="N398" s="8">
        <f>IFERROR(orders[[#This Row],[profit]]/orders[[#This Row],[Revenue]],0)</f>
        <v>0.59007551240560951</v>
      </c>
      <c r="O398">
        <f>IF(orders[[#This Row],[Delivery Date]]="","",(orders[[#This Row],[Delivery Date]]-orders[[#This Row],[Date]]))</f>
        <v>2</v>
      </c>
      <c r="P398" t="str">
        <f>IF(orders[[#This Row],[delivery days]]="","Not Delivered",IF(orders[[#This Row],[delivery days]]&lt;=2,"Fast",IF(orders[[#This Row],[delivery days]]&lt;=5,"Normal","Delayed")))</f>
        <v>Fast</v>
      </c>
    </row>
    <row r="399" spans="1:16" x14ac:dyDescent="0.25">
      <c r="A399" t="s">
        <v>535</v>
      </c>
      <c r="B399" s="5">
        <v>45811</v>
      </c>
      <c r="C399" t="s">
        <v>259</v>
      </c>
      <c r="D399" t="s">
        <v>159</v>
      </c>
      <c r="E399" t="s">
        <v>39</v>
      </c>
      <c r="F399">
        <v>4</v>
      </c>
      <c r="G399" s="1">
        <v>440</v>
      </c>
      <c r="H399" s="1">
        <v>252.96</v>
      </c>
      <c r="I399" s="5">
        <v>45813</v>
      </c>
      <c r="J399" t="s">
        <v>46</v>
      </c>
      <c r="K399" t="s">
        <v>47</v>
      </c>
      <c r="L399" t="s">
        <v>25</v>
      </c>
      <c r="M399" s="1">
        <f>(orders[[#This Row],[Revenue]]-orders[[#This Row],[Cost]])</f>
        <v>187.04</v>
      </c>
      <c r="N399" s="8">
        <f>IFERROR(orders[[#This Row],[profit]]/orders[[#This Row],[Revenue]],0)</f>
        <v>0.42509090909090907</v>
      </c>
      <c r="O399">
        <f>IF(orders[[#This Row],[Delivery Date]]="","",(orders[[#This Row],[Delivery Date]]-orders[[#This Row],[Date]]))</f>
        <v>2</v>
      </c>
      <c r="P399" t="str">
        <f>IF(orders[[#This Row],[delivery days]]="","Not Delivered",IF(orders[[#This Row],[delivery days]]&lt;=2,"Fast",IF(orders[[#This Row],[delivery days]]&lt;=5,"Normal","Delayed")))</f>
        <v>Fast</v>
      </c>
    </row>
    <row r="400" spans="1:16" x14ac:dyDescent="0.25">
      <c r="A400" t="s">
        <v>536</v>
      </c>
      <c r="B400" s="5">
        <v>45811</v>
      </c>
      <c r="C400" t="s">
        <v>99</v>
      </c>
      <c r="D400" t="s">
        <v>135</v>
      </c>
      <c r="E400" t="s">
        <v>62</v>
      </c>
      <c r="F400">
        <v>4</v>
      </c>
      <c r="G400" s="1">
        <v>496.8</v>
      </c>
      <c r="H400" s="1">
        <v>252</v>
      </c>
      <c r="I400" s="5">
        <v>45815</v>
      </c>
      <c r="J400" t="s">
        <v>16</v>
      </c>
      <c r="K400" t="s">
        <v>35</v>
      </c>
      <c r="L400" t="s">
        <v>25</v>
      </c>
      <c r="M400" s="1">
        <f>(orders[[#This Row],[Revenue]]-orders[[#This Row],[Cost]])</f>
        <v>244.8</v>
      </c>
      <c r="N400" s="8">
        <f>IFERROR(orders[[#This Row],[profit]]/orders[[#This Row],[Revenue]],0)</f>
        <v>0.49275362318840582</v>
      </c>
      <c r="O400">
        <f>IF(orders[[#This Row],[Delivery Date]]="","",(orders[[#This Row],[Delivery Date]]-orders[[#This Row],[Date]]))</f>
        <v>4</v>
      </c>
      <c r="P400" t="str">
        <f>IF(orders[[#This Row],[delivery days]]="","Not Delivered",IF(orders[[#This Row],[delivery days]]&lt;=2,"Fast",IF(orders[[#This Row],[delivery days]]&lt;=5,"Normal","Delayed")))</f>
        <v>Normal</v>
      </c>
    </row>
    <row r="401" spans="1:16" x14ac:dyDescent="0.25">
      <c r="A401" t="s">
        <v>537</v>
      </c>
      <c r="B401" s="5">
        <v>45811</v>
      </c>
      <c r="C401" t="s">
        <v>181</v>
      </c>
      <c r="D401" t="s">
        <v>219</v>
      </c>
      <c r="E401" t="s">
        <v>34</v>
      </c>
      <c r="F401">
        <v>2</v>
      </c>
      <c r="G401" s="1">
        <v>54.32</v>
      </c>
      <c r="H401" s="1">
        <v>22</v>
      </c>
      <c r="I401" s="5">
        <v>45814</v>
      </c>
      <c r="J401" t="s">
        <v>101</v>
      </c>
      <c r="K401" t="s">
        <v>47</v>
      </c>
      <c r="L401" t="s">
        <v>18</v>
      </c>
      <c r="M401" s="1">
        <f>(orders[[#This Row],[Revenue]]-orders[[#This Row],[Cost]])</f>
        <v>32.32</v>
      </c>
      <c r="N401" s="8">
        <f>IFERROR(orders[[#This Row],[profit]]/orders[[#This Row],[Revenue]],0)</f>
        <v>0.59499263622974963</v>
      </c>
      <c r="O401">
        <f>IF(orders[[#This Row],[Delivery Date]]="","",(orders[[#This Row],[Delivery Date]]-orders[[#This Row],[Date]]))</f>
        <v>3</v>
      </c>
      <c r="P401" t="str">
        <f>IF(orders[[#This Row],[delivery days]]="","Not Delivered",IF(orders[[#This Row],[delivery days]]&lt;=2,"Fast",IF(orders[[#This Row],[delivery days]]&lt;=5,"Normal","Delayed")))</f>
        <v>Normal</v>
      </c>
    </row>
    <row r="402" spans="1:16" x14ac:dyDescent="0.25">
      <c r="A402" t="s">
        <v>538</v>
      </c>
      <c r="B402" s="5">
        <v>45811</v>
      </c>
      <c r="C402" t="s">
        <v>137</v>
      </c>
      <c r="D402" t="s">
        <v>61</v>
      </c>
      <c r="E402" t="s">
        <v>62</v>
      </c>
      <c r="F402">
        <v>1</v>
      </c>
      <c r="G402" s="1">
        <v>32</v>
      </c>
      <c r="H402" s="1">
        <v>14</v>
      </c>
      <c r="I402" s="5">
        <v>45813</v>
      </c>
      <c r="J402" t="s">
        <v>16</v>
      </c>
      <c r="K402" t="s">
        <v>35</v>
      </c>
      <c r="L402" t="s">
        <v>25</v>
      </c>
      <c r="M402" s="1">
        <f>(orders[[#This Row],[Revenue]]-orders[[#This Row],[Cost]])</f>
        <v>18</v>
      </c>
      <c r="N402" s="8">
        <f>IFERROR(orders[[#This Row],[profit]]/orders[[#This Row],[Revenue]],0)</f>
        <v>0.5625</v>
      </c>
      <c r="O402">
        <f>IF(orders[[#This Row],[Delivery Date]]="","",(orders[[#This Row],[Delivery Date]]-orders[[#This Row],[Date]]))</f>
        <v>2</v>
      </c>
      <c r="P402" t="str">
        <f>IF(orders[[#This Row],[delivery days]]="","Not Delivered",IF(orders[[#This Row],[delivery days]]&lt;=2,"Fast",IF(orders[[#This Row],[delivery days]]&lt;=5,"Normal","Delayed")))</f>
        <v>Fast</v>
      </c>
    </row>
    <row r="403" spans="1:16" x14ac:dyDescent="0.25">
      <c r="A403" t="s">
        <v>539</v>
      </c>
      <c r="B403" s="5">
        <v>45812</v>
      </c>
      <c r="C403" t="s">
        <v>20</v>
      </c>
      <c r="D403" t="s">
        <v>168</v>
      </c>
      <c r="E403" t="s">
        <v>29</v>
      </c>
      <c r="F403">
        <v>1</v>
      </c>
      <c r="G403" s="1">
        <v>22</v>
      </c>
      <c r="H403" s="1">
        <v>8</v>
      </c>
      <c r="I403" s="5">
        <v>45814</v>
      </c>
      <c r="J403" t="s">
        <v>46</v>
      </c>
      <c r="K403" t="s">
        <v>24</v>
      </c>
      <c r="L403" t="s">
        <v>25</v>
      </c>
      <c r="M403" s="1">
        <f>(orders[[#This Row],[Revenue]]-orders[[#This Row],[Cost]])</f>
        <v>14</v>
      </c>
      <c r="N403" s="8">
        <f>IFERROR(orders[[#This Row],[profit]]/orders[[#This Row],[Revenue]],0)</f>
        <v>0.63636363636363635</v>
      </c>
      <c r="O403">
        <f>IF(orders[[#This Row],[Delivery Date]]="","",(orders[[#This Row],[Delivery Date]]-orders[[#This Row],[Date]]))</f>
        <v>2</v>
      </c>
      <c r="P403" t="str">
        <f>IF(orders[[#This Row],[delivery days]]="","Not Delivered",IF(orders[[#This Row],[delivery days]]&lt;=2,"Fast",IF(orders[[#This Row],[delivery days]]&lt;=5,"Normal","Delayed")))</f>
        <v>Fast</v>
      </c>
    </row>
    <row r="404" spans="1:16" x14ac:dyDescent="0.25">
      <c r="A404" t="s">
        <v>540</v>
      </c>
      <c r="B404" s="5">
        <v>45812</v>
      </c>
      <c r="C404" t="s">
        <v>90</v>
      </c>
      <c r="D404" t="s">
        <v>300</v>
      </c>
      <c r="E404" t="s">
        <v>77</v>
      </c>
      <c r="F404">
        <v>1</v>
      </c>
      <c r="G404" s="1">
        <v>390</v>
      </c>
      <c r="H404" s="1">
        <v>245</v>
      </c>
      <c r="I404" s="5">
        <v>45816</v>
      </c>
      <c r="J404" t="s">
        <v>46</v>
      </c>
      <c r="K404" t="s">
        <v>24</v>
      </c>
      <c r="L404" t="s">
        <v>25</v>
      </c>
      <c r="M404" s="1">
        <f>(orders[[#This Row],[Revenue]]-orders[[#This Row],[Cost]])</f>
        <v>145</v>
      </c>
      <c r="N404" s="8">
        <f>IFERROR(orders[[#This Row],[profit]]/orders[[#This Row],[Revenue]],0)</f>
        <v>0.37179487179487181</v>
      </c>
      <c r="O404">
        <f>IF(orders[[#This Row],[Delivery Date]]="","",(orders[[#This Row],[Delivery Date]]-orders[[#This Row],[Date]]))</f>
        <v>4</v>
      </c>
      <c r="P404" t="str">
        <f>IF(orders[[#This Row],[delivery days]]="","Not Delivered",IF(orders[[#This Row],[delivery days]]&lt;=2,"Fast",IF(orders[[#This Row],[delivery days]]&lt;=5,"Normal","Delayed")))</f>
        <v>Normal</v>
      </c>
    </row>
    <row r="405" spans="1:16" x14ac:dyDescent="0.25">
      <c r="A405" t="s">
        <v>541</v>
      </c>
      <c r="B405" s="5">
        <v>45812</v>
      </c>
      <c r="C405" t="s">
        <v>82</v>
      </c>
      <c r="D405" t="s">
        <v>266</v>
      </c>
      <c r="E405" t="s">
        <v>22</v>
      </c>
      <c r="F405">
        <v>1</v>
      </c>
      <c r="G405" s="1">
        <v>18.54</v>
      </c>
      <c r="H405" s="1">
        <v>7</v>
      </c>
      <c r="I405" s="5">
        <v>45814</v>
      </c>
      <c r="J405" t="s">
        <v>30</v>
      </c>
      <c r="K405" t="s">
        <v>35</v>
      </c>
      <c r="L405" t="s">
        <v>25</v>
      </c>
      <c r="M405" s="1">
        <f>(orders[[#This Row],[Revenue]]-orders[[#This Row],[Cost]])</f>
        <v>11.54</v>
      </c>
      <c r="N405" s="8">
        <f>IFERROR(orders[[#This Row],[profit]]/orders[[#This Row],[Revenue]],0)</f>
        <v>0.62243797195253503</v>
      </c>
      <c r="O405">
        <f>IF(orders[[#This Row],[Delivery Date]]="","",(orders[[#This Row],[Delivery Date]]-orders[[#This Row],[Date]]))</f>
        <v>2</v>
      </c>
      <c r="P405" t="str">
        <f>IF(orders[[#This Row],[delivery days]]="","Not Delivered",IF(orders[[#This Row],[delivery days]]&lt;=2,"Fast",IF(orders[[#This Row],[delivery days]]&lt;=5,"Normal","Delayed")))</f>
        <v>Fast</v>
      </c>
    </row>
    <row r="406" spans="1:16" x14ac:dyDescent="0.25">
      <c r="A406" t="s">
        <v>542</v>
      </c>
      <c r="B406" s="5">
        <v>45813</v>
      </c>
      <c r="C406" t="s">
        <v>184</v>
      </c>
      <c r="D406" t="s">
        <v>146</v>
      </c>
      <c r="E406" t="s">
        <v>22</v>
      </c>
      <c r="F406">
        <v>1</v>
      </c>
      <c r="G406" s="1">
        <v>88</v>
      </c>
      <c r="H406" s="1">
        <v>45</v>
      </c>
      <c r="I406" s="5"/>
      <c r="J406" t="s">
        <v>16</v>
      </c>
      <c r="K406" t="s">
        <v>17</v>
      </c>
      <c r="L406" t="s">
        <v>103</v>
      </c>
      <c r="M406" s="1">
        <f>(orders[[#This Row],[Revenue]]-orders[[#This Row],[Cost]])</f>
        <v>43</v>
      </c>
      <c r="N406" s="8">
        <f>IFERROR(orders[[#This Row],[profit]]/orders[[#This Row],[Revenue]],0)</f>
        <v>0.48863636363636365</v>
      </c>
      <c r="O406" t="str">
        <f>IF(orders[[#This Row],[Delivery Date]]="","",(orders[[#This Row],[Delivery Date]]-orders[[#This Row],[Date]]))</f>
        <v/>
      </c>
      <c r="P406" t="str">
        <f>IF(orders[[#This Row],[delivery days]]="","Not Delivered",IF(orders[[#This Row],[delivery days]]&lt;=2,"Fast",IF(orders[[#This Row],[delivery days]]&lt;=5,"Normal","Delayed")))</f>
        <v>Not Delivered</v>
      </c>
    </row>
    <row r="407" spans="1:16" x14ac:dyDescent="0.25">
      <c r="A407" t="s">
        <v>543</v>
      </c>
      <c r="B407" s="5">
        <v>45813</v>
      </c>
      <c r="C407" t="s">
        <v>316</v>
      </c>
      <c r="D407" t="s">
        <v>127</v>
      </c>
      <c r="E407" t="s">
        <v>29</v>
      </c>
      <c r="F407">
        <v>1</v>
      </c>
      <c r="G407" s="1">
        <v>18.54</v>
      </c>
      <c r="H407" s="1">
        <v>5.88</v>
      </c>
      <c r="I407" s="5">
        <v>45816</v>
      </c>
      <c r="J407" t="s">
        <v>30</v>
      </c>
      <c r="K407" t="s">
        <v>17</v>
      </c>
      <c r="L407" t="s">
        <v>25</v>
      </c>
      <c r="M407" s="1">
        <f>(orders[[#This Row],[Revenue]]-orders[[#This Row],[Cost]])</f>
        <v>12.66</v>
      </c>
      <c r="N407" s="8">
        <f>IFERROR(orders[[#This Row],[profit]]/orders[[#This Row],[Revenue]],0)</f>
        <v>0.68284789644012944</v>
      </c>
      <c r="O407">
        <f>IF(orders[[#This Row],[Delivery Date]]="","",(orders[[#This Row],[Delivery Date]]-orders[[#This Row],[Date]]))</f>
        <v>3</v>
      </c>
      <c r="P407" t="str">
        <f>IF(orders[[#This Row],[delivery days]]="","Not Delivered",IF(orders[[#This Row],[delivery days]]&lt;=2,"Fast",IF(orders[[#This Row],[delivery days]]&lt;=5,"Normal","Delayed")))</f>
        <v>Normal</v>
      </c>
    </row>
    <row r="408" spans="1:16" x14ac:dyDescent="0.25">
      <c r="A408" t="s">
        <v>544</v>
      </c>
      <c r="B408" s="5">
        <v>45813</v>
      </c>
      <c r="C408" t="s">
        <v>191</v>
      </c>
      <c r="D408" t="s">
        <v>58</v>
      </c>
      <c r="E408" t="s">
        <v>39</v>
      </c>
      <c r="F408">
        <v>2</v>
      </c>
      <c r="G408" s="1">
        <v>2575</v>
      </c>
      <c r="H408" s="1">
        <v>1764</v>
      </c>
      <c r="I408" s="5">
        <v>45816</v>
      </c>
      <c r="J408" t="s">
        <v>30</v>
      </c>
      <c r="K408" t="s">
        <v>35</v>
      </c>
      <c r="L408" t="s">
        <v>25</v>
      </c>
      <c r="M408" s="1">
        <f>(orders[[#This Row],[Revenue]]-orders[[#This Row],[Cost]])</f>
        <v>811</v>
      </c>
      <c r="N408" s="8">
        <f>IFERROR(orders[[#This Row],[profit]]/orders[[#This Row],[Revenue]],0)</f>
        <v>0.31495145631067961</v>
      </c>
      <c r="O408">
        <f>IF(orders[[#This Row],[Delivery Date]]="","",(orders[[#This Row],[Delivery Date]]-orders[[#This Row],[Date]]))</f>
        <v>3</v>
      </c>
      <c r="P408" t="str">
        <f>IF(orders[[#This Row],[delivery days]]="","Not Delivered",IF(orders[[#This Row],[delivery days]]&lt;=2,"Fast",IF(orders[[#This Row],[delivery days]]&lt;=5,"Normal","Delayed")))</f>
        <v>Normal</v>
      </c>
    </row>
    <row r="409" spans="1:16" x14ac:dyDescent="0.25">
      <c r="A409" t="s">
        <v>545</v>
      </c>
      <c r="B409" s="5">
        <v>45813</v>
      </c>
      <c r="C409" t="s">
        <v>161</v>
      </c>
      <c r="D409" t="s">
        <v>14</v>
      </c>
      <c r="E409" t="s">
        <v>15</v>
      </c>
      <c r="F409">
        <v>2</v>
      </c>
      <c r="G409" s="1">
        <v>50</v>
      </c>
      <c r="H409" s="1">
        <v>18</v>
      </c>
      <c r="I409" s="5">
        <v>45816</v>
      </c>
      <c r="J409" t="s">
        <v>101</v>
      </c>
      <c r="K409" t="s">
        <v>47</v>
      </c>
      <c r="L409" t="s">
        <v>25</v>
      </c>
      <c r="M409" s="1">
        <f>(orders[[#This Row],[Revenue]]-orders[[#This Row],[Cost]])</f>
        <v>32</v>
      </c>
      <c r="N409" s="8">
        <f>IFERROR(orders[[#This Row],[profit]]/orders[[#This Row],[Revenue]],0)</f>
        <v>0.64</v>
      </c>
      <c r="O409">
        <f>IF(orders[[#This Row],[Delivery Date]]="","",(orders[[#This Row],[Delivery Date]]-orders[[#This Row],[Date]]))</f>
        <v>3</v>
      </c>
      <c r="P409" t="str">
        <f>IF(orders[[#This Row],[delivery days]]="","Not Delivered",IF(orders[[#This Row],[delivery days]]&lt;=2,"Fast",IF(orders[[#This Row],[delivery days]]&lt;=5,"Normal","Delayed")))</f>
        <v>Normal</v>
      </c>
    </row>
    <row r="410" spans="1:16" x14ac:dyDescent="0.25">
      <c r="A410" t="s">
        <v>546</v>
      </c>
      <c r="B410" s="5">
        <v>45813</v>
      </c>
      <c r="C410" t="s">
        <v>54</v>
      </c>
      <c r="D410" t="s">
        <v>61</v>
      </c>
      <c r="E410" t="s">
        <v>62</v>
      </c>
      <c r="F410">
        <v>1</v>
      </c>
      <c r="G410" s="1">
        <v>32</v>
      </c>
      <c r="H410" s="1">
        <v>14</v>
      </c>
      <c r="I410" s="5">
        <v>45818</v>
      </c>
      <c r="J410" t="s">
        <v>52</v>
      </c>
      <c r="K410" t="s">
        <v>47</v>
      </c>
      <c r="L410" t="s">
        <v>25</v>
      </c>
      <c r="M410" s="1">
        <f>(orders[[#This Row],[Revenue]]-orders[[#This Row],[Cost]])</f>
        <v>18</v>
      </c>
      <c r="N410" s="8">
        <f>IFERROR(orders[[#This Row],[profit]]/orders[[#This Row],[Revenue]],0)</f>
        <v>0.5625</v>
      </c>
      <c r="O410">
        <f>IF(orders[[#This Row],[Delivery Date]]="","",(orders[[#This Row],[Delivery Date]]-orders[[#This Row],[Date]]))</f>
        <v>5</v>
      </c>
      <c r="P410" t="str">
        <f>IF(orders[[#This Row],[delivery days]]="","Not Delivered",IF(orders[[#This Row],[delivery days]]&lt;=2,"Fast",IF(orders[[#This Row],[delivery days]]&lt;=5,"Normal","Delayed")))</f>
        <v>Normal</v>
      </c>
    </row>
    <row r="411" spans="1:16" x14ac:dyDescent="0.25">
      <c r="A411" t="s">
        <v>547</v>
      </c>
      <c r="B411" s="5">
        <v>45813</v>
      </c>
      <c r="C411" t="s">
        <v>69</v>
      </c>
      <c r="D411" t="s">
        <v>219</v>
      </c>
      <c r="E411" t="s">
        <v>34</v>
      </c>
      <c r="F411">
        <v>3</v>
      </c>
      <c r="G411" s="1">
        <v>86.52</v>
      </c>
      <c r="H411" s="1">
        <v>33</v>
      </c>
      <c r="I411" s="5">
        <v>45816</v>
      </c>
      <c r="J411" t="s">
        <v>46</v>
      </c>
      <c r="K411" t="s">
        <v>47</v>
      </c>
      <c r="L411" t="s">
        <v>25</v>
      </c>
      <c r="M411" s="1">
        <f>(orders[[#This Row],[Revenue]]-orders[[#This Row],[Cost]])</f>
        <v>53.519999999999996</v>
      </c>
      <c r="N411" s="8">
        <f>IFERROR(orders[[#This Row],[profit]]/orders[[#This Row],[Revenue]],0)</f>
        <v>0.61858529819694863</v>
      </c>
      <c r="O411">
        <f>IF(orders[[#This Row],[Delivery Date]]="","",(orders[[#This Row],[Delivery Date]]-orders[[#This Row],[Date]]))</f>
        <v>3</v>
      </c>
      <c r="P411" t="str">
        <f>IF(orders[[#This Row],[delivery days]]="","Not Delivered",IF(orders[[#This Row],[delivery days]]&lt;=2,"Fast",IF(orders[[#This Row],[delivery days]]&lt;=5,"Normal","Delayed")))</f>
        <v>Normal</v>
      </c>
    </row>
    <row r="412" spans="1:16" x14ac:dyDescent="0.25">
      <c r="A412" t="s">
        <v>548</v>
      </c>
      <c r="B412" s="5">
        <v>45814</v>
      </c>
      <c r="C412" t="s">
        <v>92</v>
      </c>
      <c r="D412" t="s">
        <v>159</v>
      </c>
      <c r="E412" t="s">
        <v>39</v>
      </c>
      <c r="F412">
        <v>1</v>
      </c>
      <c r="G412" s="1">
        <v>110</v>
      </c>
      <c r="H412" s="1">
        <v>62</v>
      </c>
      <c r="I412" s="5">
        <v>45819</v>
      </c>
      <c r="J412" t="s">
        <v>52</v>
      </c>
      <c r="K412" t="s">
        <v>47</v>
      </c>
      <c r="L412" t="s">
        <v>25</v>
      </c>
      <c r="M412" s="1">
        <f>(orders[[#This Row],[Revenue]]-orders[[#This Row],[Cost]])</f>
        <v>48</v>
      </c>
      <c r="N412" s="8">
        <f>IFERROR(orders[[#This Row],[profit]]/orders[[#This Row],[Revenue]],0)</f>
        <v>0.43636363636363634</v>
      </c>
      <c r="O412">
        <f>IF(orders[[#This Row],[Delivery Date]]="","",(orders[[#This Row],[Delivery Date]]-orders[[#This Row],[Date]]))</f>
        <v>5</v>
      </c>
      <c r="P412" t="str">
        <f>IF(orders[[#This Row],[delivery days]]="","Not Delivered",IF(orders[[#This Row],[delivery days]]&lt;=2,"Fast",IF(orders[[#This Row],[delivery days]]&lt;=5,"Normal","Delayed")))</f>
        <v>Normal</v>
      </c>
    </row>
    <row r="413" spans="1:16" x14ac:dyDescent="0.25">
      <c r="A413" t="s">
        <v>549</v>
      </c>
      <c r="B413" s="5">
        <v>45814</v>
      </c>
      <c r="C413" t="s">
        <v>210</v>
      </c>
      <c r="D413" t="s">
        <v>289</v>
      </c>
      <c r="E413" t="s">
        <v>22</v>
      </c>
      <c r="F413">
        <v>2</v>
      </c>
      <c r="G413" s="1">
        <v>114.08</v>
      </c>
      <c r="H413" s="1">
        <v>58</v>
      </c>
      <c r="I413" s="5">
        <v>45818</v>
      </c>
      <c r="J413" t="s">
        <v>30</v>
      </c>
      <c r="K413" t="s">
        <v>17</v>
      </c>
      <c r="L413" t="s">
        <v>25</v>
      </c>
      <c r="M413" s="1">
        <f>(orders[[#This Row],[Revenue]]-orders[[#This Row],[Cost]])</f>
        <v>56.08</v>
      </c>
      <c r="N413" s="8">
        <f>IFERROR(orders[[#This Row],[profit]]/orders[[#This Row],[Revenue]],0)</f>
        <v>0.49158485273492286</v>
      </c>
      <c r="O413">
        <f>IF(orders[[#This Row],[Delivery Date]]="","",(orders[[#This Row],[Delivery Date]]-orders[[#This Row],[Date]]))</f>
        <v>4</v>
      </c>
      <c r="P413" t="str">
        <f>IF(orders[[#This Row],[delivery days]]="","Not Delivered",IF(orders[[#This Row],[delivery days]]&lt;=2,"Fast",IF(orders[[#This Row],[delivery days]]&lt;=5,"Normal","Delayed")))</f>
        <v>Normal</v>
      </c>
    </row>
    <row r="414" spans="1:16" x14ac:dyDescent="0.25">
      <c r="A414" t="s">
        <v>550</v>
      </c>
      <c r="B414" s="5">
        <v>45814</v>
      </c>
      <c r="C414" t="s">
        <v>195</v>
      </c>
      <c r="D414" t="s">
        <v>150</v>
      </c>
      <c r="E414" t="s">
        <v>77</v>
      </c>
      <c r="F414">
        <v>2</v>
      </c>
      <c r="G414" s="1">
        <v>183.6</v>
      </c>
      <c r="H414" s="1">
        <v>86.24</v>
      </c>
      <c r="I414" s="5">
        <v>45818</v>
      </c>
      <c r="J414" t="s">
        <v>16</v>
      </c>
      <c r="K414" t="s">
        <v>17</v>
      </c>
      <c r="L414" t="s">
        <v>25</v>
      </c>
      <c r="M414" s="1">
        <f>(orders[[#This Row],[Revenue]]-orders[[#This Row],[Cost]])</f>
        <v>97.36</v>
      </c>
      <c r="N414" s="8">
        <f>IFERROR(orders[[#This Row],[profit]]/orders[[#This Row],[Revenue]],0)</f>
        <v>0.5302832244008715</v>
      </c>
      <c r="O414">
        <f>IF(orders[[#This Row],[Delivery Date]]="","",(orders[[#This Row],[Delivery Date]]-orders[[#This Row],[Date]]))</f>
        <v>4</v>
      </c>
      <c r="P414" t="str">
        <f>IF(orders[[#This Row],[delivery days]]="","Not Delivered",IF(orders[[#This Row],[delivery days]]&lt;=2,"Fast",IF(orders[[#This Row],[delivery days]]&lt;=5,"Normal","Delayed")))</f>
        <v>Normal</v>
      </c>
    </row>
    <row r="415" spans="1:16" x14ac:dyDescent="0.25">
      <c r="A415" t="s">
        <v>551</v>
      </c>
      <c r="B415" s="5">
        <v>45816</v>
      </c>
      <c r="C415" t="s">
        <v>210</v>
      </c>
      <c r="D415" t="s">
        <v>208</v>
      </c>
      <c r="E415" t="s">
        <v>15</v>
      </c>
      <c r="F415">
        <v>1</v>
      </c>
      <c r="G415" s="1">
        <v>130</v>
      </c>
      <c r="H415" s="1">
        <v>74.48</v>
      </c>
      <c r="I415" s="5">
        <v>45817</v>
      </c>
      <c r="J415" t="s">
        <v>46</v>
      </c>
      <c r="K415" t="s">
        <v>47</v>
      </c>
      <c r="L415" t="s">
        <v>25</v>
      </c>
      <c r="M415" s="1">
        <f>(orders[[#This Row],[Revenue]]-orders[[#This Row],[Cost]])</f>
        <v>55.519999999999996</v>
      </c>
      <c r="N415" s="8">
        <f>IFERROR(orders[[#This Row],[profit]]/orders[[#This Row],[Revenue]],0)</f>
        <v>0.42707692307692302</v>
      </c>
      <c r="O415">
        <f>IF(orders[[#This Row],[Delivery Date]]="","",(orders[[#This Row],[Delivery Date]]-orders[[#This Row],[Date]]))</f>
        <v>1</v>
      </c>
      <c r="P415" t="str">
        <f>IF(orders[[#This Row],[delivery days]]="","Not Delivered",IF(orders[[#This Row],[delivery days]]&lt;=2,"Fast",IF(orders[[#This Row],[delivery days]]&lt;=5,"Normal","Delayed")))</f>
        <v>Fast</v>
      </c>
    </row>
    <row r="416" spans="1:16" x14ac:dyDescent="0.25">
      <c r="A416" t="s">
        <v>552</v>
      </c>
      <c r="B416" s="5">
        <v>45816</v>
      </c>
      <c r="C416" t="s">
        <v>217</v>
      </c>
      <c r="D416" t="s">
        <v>70</v>
      </c>
      <c r="E416" t="s">
        <v>62</v>
      </c>
      <c r="F416">
        <v>1</v>
      </c>
      <c r="G416" s="1">
        <v>130.94999999999999</v>
      </c>
      <c r="H416" s="1">
        <v>79.56</v>
      </c>
      <c r="I416" s="5">
        <v>45819</v>
      </c>
      <c r="J416" t="s">
        <v>23</v>
      </c>
      <c r="K416" t="s">
        <v>17</v>
      </c>
      <c r="L416" t="s">
        <v>25</v>
      </c>
      <c r="M416" s="1">
        <f>(orders[[#This Row],[Revenue]]-orders[[#This Row],[Cost]])</f>
        <v>51.389999999999986</v>
      </c>
      <c r="N416" s="8">
        <f>IFERROR(orders[[#This Row],[profit]]/orders[[#This Row],[Revenue]],0)</f>
        <v>0.39243986254295526</v>
      </c>
      <c r="O416">
        <f>IF(orders[[#This Row],[Delivery Date]]="","",(orders[[#This Row],[Delivery Date]]-orders[[#This Row],[Date]]))</f>
        <v>3</v>
      </c>
      <c r="P416" t="str">
        <f>IF(orders[[#This Row],[delivery days]]="","Not Delivered",IF(orders[[#This Row],[delivery days]]&lt;=2,"Fast",IF(orders[[#This Row],[delivery days]]&lt;=5,"Normal","Delayed")))</f>
        <v>Normal</v>
      </c>
    </row>
    <row r="417" spans="1:16" x14ac:dyDescent="0.25">
      <c r="A417" t="s">
        <v>553</v>
      </c>
      <c r="B417" s="5">
        <v>45817</v>
      </c>
      <c r="C417" t="s">
        <v>200</v>
      </c>
      <c r="D417" t="s">
        <v>86</v>
      </c>
      <c r="E417" t="s">
        <v>29</v>
      </c>
      <c r="F417">
        <v>2</v>
      </c>
      <c r="G417" s="1">
        <v>59.74</v>
      </c>
      <c r="H417" s="1">
        <v>24.48</v>
      </c>
      <c r="I417" s="5">
        <v>45820</v>
      </c>
      <c r="J417" t="s">
        <v>46</v>
      </c>
      <c r="K417" t="s">
        <v>47</v>
      </c>
      <c r="L417" t="s">
        <v>25</v>
      </c>
      <c r="M417" s="1">
        <f>(orders[[#This Row],[Revenue]]-orders[[#This Row],[Cost]])</f>
        <v>35.260000000000005</v>
      </c>
      <c r="N417" s="8">
        <f>IFERROR(orders[[#This Row],[profit]]/orders[[#This Row],[Revenue]],0)</f>
        <v>0.59022430532306669</v>
      </c>
      <c r="O417">
        <f>IF(orders[[#This Row],[Delivery Date]]="","",(orders[[#This Row],[Delivery Date]]-orders[[#This Row],[Date]]))</f>
        <v>3</v>
      </c>
      <c r="P417" t="str">
        <f>IF(orders[[#This Row],[delivery days]]="","Not Delivered",IF(orders[[#This Row],[delivery days]]&lt;=2,"Fast",IF(orders[[#This Row],[delivery days]]&lt;=5,"Normal","Delayed")))</f>
        <v>Normal</v>
      </c>
    </row>
    <row r="418" spans="1:16" x14ac:dyDescent="0.25">
      <c r="A418" t="s">
        <v>554</v>
      </c>
      <c r="B418" s="5">
        <v>45818</v>
      </c>
      <c r="C418" t="s">
        <v>79</v>
      </c>
      <c r="D418" t="s">
        <v>58</v>
      </c>
      <c r="E418" t="s">
        <v>39</v>
      </c>
      <c r="F418">
        <v>2</v>
      </c>
      <c r="G418" s="1">
        <v>2500</v>
      </c>
      <c r="H418" s="1">
        <v>1800</v>
      </c>
      <c r="I418" s="5">
        <v>45824</v>
      </c>
      <c r="J418" t="s">
        <v>46</v>
      </c>
      <c r="K418" t="s">
        <v>24</v>
      </c>
      <c r="L418" t="s">
        <v>25</v>
      </c>
      <c r="M418" s="1">
        <f>(orders[[#This Row],[Revenue]]-orders[[#This Row],[Cost]])</f>
        <v>700</v>
      </c>
      <c r="N418" s="8">
        <f>IFERROR(orders[[#This Row],[profit]]/orders[[#This Row],[Revenue]],0)</f>
        <v>0.28000000000000003</v>
      </c>
      <c r="O418">
        <f>IF(orders[[#This Row],[Delivery Date]]="","",(orders[[#This Row],[Delivery Date]]-orders[[#This Row],[Date]]))</f>
        <v>6</v>
      </c>
      <c r="P418" t="str">
        <f>IF(orders[[#This Row],[delivery days]]="","Not Delivered",IF(orders[[#This Row],[delivery days]]&lt;=2,"Fast",IF(orders[[#This Row],[delivery days]]&lt;=5,"Normal","Delayed")))</f>
        <v>Delayed</v>
      </c>
    </row>
    <row r="419" spans="1:16" x14ac:dyDescent="0.25">
      <c r="A419" t="s">
        <v>555</v>
      </c>
      <c r="B419" s="5">
        <v>45819</v>
      </c>
      <c r="C419" t="s">
        <v>200</v>
      </c>
      <c r="D419" t="s">
        <v>61</v>
      </c>
      <c r="E419" t="s">
        <v>62</v>
      </c>
      <c r="F419">
        <v>1</v>
      </c>
      <c r="G419" s="1">
        <v>32</v>
      </c>
      <c r="H419" s="1">
        <v>14</v>
      </c>
      <c r="I419" s="5"/>
      <c r="J419" t="s">
        <v>23</v>
      </c>
      <c r="K419" t="s">
        <v>24</v>
      </c>
      <c r="L419" t="s">
        <v>42</v>
      </c>
      <c r="M419" s="1">
        <f>(orders[[#This Row],[Revenue]]-orders[[#This Row],[Cost]])</f>
        <v>18</v>
      </c>
      <c r="N419" s="8">
        <f>IFERROR(orders[[#This Row],[profit]]/orders[[#This Row],[Revenue]],0)</f>
        <v>0.5625</v>
      </c>
      <c r="O419" t="str">
        <f>IF(orders[[#This Row],[Delivery Date]]="","",(orders[[#This Row],[Delivery Date]]-orders[[#This Row],[Date]]))</f>
        <v/>
      </c>
      <c r="P419" t="str">
        <f>IF(orders[[#This Row],[delivery days]]="","Not Delivered",IF(orders[[#This Row],[delivery days]]&lt;=2,"Fast",IF(orders[[#This Row],[delivery days]]&lt;=5,"Normal","Delayed")))</f>
        <v>Not Delivered</v>
      </c>
    </row>
    <row r="420" spans="1:16" x14ac:dyDescent="0.25">
      <c r="A420" t="s">
        <v>556</v>
      </c>
      <c r="B420" s="5">
        <v>45819</v>
      </c>
      <c r="C420" t="s">
        <v>67</v>
      </c>
      <c r="D420" t="s">
        <v>55</v>
      </c>
      <c r="E420" t="s">
        <v>39</v>
      </c>
      <c r="F420">
        <v>5</v>
      </c>
      <c r="G420" s="1">
        <v>2100</v>
      </c>
      <c r="H420" s="1">
        <v>1402.5</v>
      </c>
      <c r="I420" s="5"/>
      <c r="J420" t="s">
        <v>30</v>
      </c>
      <c r="K420" t="s">
        <v>35</v>
      </c>
      <c r="L420" t="s">
        <v>42</v>
      </c>
      <c r="M420" s="1">
        <f>(orders[[#This Row],[Revenue]]-orders[[#This Row],[Cost]])</f>
        <v>697.5</v>
      </c>
      <c r="N420" s="8">
        <f>IFERROR(orders[[#This Row],[profit]]/orders[[#This Row],[Revenue]],0)</f>
        <v>0.33214285714285713</v>
      </c>
      <c r="O420" t="str">
        <f>IF(orders[[#This Row],[Delivery Date]]="","",(orders[[#This Row],[Delivery Date]]-orders[[#This Row],[Date]]))</f>
        <v/>
      </c>
      <c r="P420" t="str">
        <f>IF(orders[[#This Row],[delivery days]]="","Not Delivered",IF(orders[[#This Row],[delivery days]]&lt;=2,"Fast",IF(orders[[#This Row],[delivery days]]&lt;=5,"Normal","Delayed")))</f>
        <v>Not Delivered</v>
      </c>
    </row>
    <row r="421" spans="1:16" x14ac:dyDescent="0.25">
      <c r="A421" t="s">
        <v>557</v>
      </c>
      <c r="B421" s="5">
        <v>45819</v>
      </c>
      <c r="C421" t="s">
        <v>222</v>
      </c>
      <c r="D421" t="s">
        <v>235</v>
      </c>
      <c r="E421" t="s">
        <v>15</v>
      </c>
      <c r="F421">
        <v>1</v>
      </c>
      <c r="G421" s="1">
        <v>65</v>
      </c>
      <c r="H421" s="1">
        <v>31</v>
      </c>
      <c r="I421" s="5">
        <v>45825</v>
      </c>
      <c r="J421" t="s">
        <v>52</v>
      </c>
      <c r="K421" t="s">
        <v>24</v>
      </c>
      <c r="L421" t="s">
        <v>25</v>
      </c>
      <c r="M421" s="1">
        <f>(orders[[#This Row],[Revenue]]-orders[[#This Row],[Cost]])</f>
        <v>34</v>
      </c>
      <c r="N421" s="8">
        <f>IFERROR(orders[[#This Row],[profit]]/orders[[#This Row],[Revenue]],0)</f>
        <v>0.52307692307692311</v>
      </c>
      <c r="O421">
        <f>IF(orders[[#This Row],[Delivery Date]]="","",(orders[[#This Row],[Delivery Date]]-orders[[#This Row],[Date]]))</f>
        <v>6</v>
      </c>
      <c r="P421" t="str">
        <f>IF(orders[[#This Row],[delivery days]]="","Not Delivered",IF(orders[[#This Row],[delivery days]]&lt;=2,"Fast",IF(orders[[#This Row],[delivery days]]&lt;=5,"Normal","Delayed")))</f>
        <v>Delayed</v>
      </c>
    </row>
    <row r="422" spans="1:16" x14ac:dyDescent="0.25">
      <c r="A422" t="s">
        <v>558</v>
      </c>
      <c r="B422" s="5">
        <v>45819</v>
      </c>
      <c r="C422" t="s">
        <v>90</v>
      </c>
      <c r="D422" t="s">
        <v>224</v>
      </c>
      <c r="E422" t="s">
        <v>77</v>
      </c>
      <c r="F422">
        <v>1</v>
      </c>
      <c r="G422" s="1">
        <v>125</v>
      </c>
      <c r="H422" s="1">
        <v>67</v>
      </c>
      <c r="I422" s="5">
        <v>45821</v>
      </c>
      <c r="J422" t="s">
        <v>46</v>
      </c>
      <c r="K422" t="s">
        <v>24</v>
      </c>
      <c r="L422" t="s">
        <v>25</v>
      </c>
      <c r="M422" s="1">
        <f>(orders[[#This Row],[Revenue]]-orders[[#This Row],[Cost]])</f>
        <v>58</v>
      </c>
      <c r="N422" s="8">
        <f>IFERROR(orders[[#This Row],[profit]]/orders[[#This Row],[Revenue]],0)</f>
        <v>0.46400000000000002</v>
      </c>
      <c r="O422">
        <f>IF(orders[[#This Row],[Delivery Date]]="","",(orders[[#This Row],[Delivery Date]]-orders[[#This Row],[Date]]))</f>
        <v>2</v>
      </c>
      <c r="P422" t="str">
        <f>IF(orders[[#This Row],[delivery days]]="","Not Delivered",IF(orders[[#This Row],[delivery days]]&lt;=2,"Fast",IF(orders[[#This Row],[delivery days]]&lt;=5,"Normal","Delayed")))</f>
        <v>Fast</v>
      </c>
    </row>
    <row r="423" spans="1:16" x14ac:dyDescent="0.25">
      <c r="A423" t="s">
        <v>559</v>
      </c>
      <c r="B423" s="5">
        <v>45820</v>
      </c>
      <c r="C423" t="s">
        <v>94</v>
      </c>
      <c r="D423" t="s">
        <v>135</v>
      </c>
      <c r="E423" t="s">
        <v>62</v>
      </c>
      <c r="F423">
        <v>1</v>
      </c>
      <c r="G423" s="1">
        <v>111.55</v>
      </c>
      <c r="H423" s="1">
        <v>64.260000000000005</v>
      </c>
      <c r="I423" s="5">
        <v>45823</v>
      </c>
      <c r="J423" t="s">
        <v>16</v>
      </c>
      <c r="K423" t="s">
        <v>17</v>
      </c>
      <c r="L423" t="s">
        <v>25</v>
      </c>
      <c r="M423" s="1">
        <f>(orders[[#This Row],[Revenue]]-orders[[#This Row],[Cost]])</f>
        <v>47.289999999999992</v>
      </c>
      <c r="N423" s="8">
        <f>IFERROR(orders[[#This Row],[profit]]/orders[[#This Row],[Revenue]],0)</f>
        <v>0.42393545495293583</v>
      </c>
      <c r="O423">
        <f>IF(orders[[#This Row],[Delivery Date]]="","",(orders[[#This Row],[Delivery Date]]-orders[[#This Row],[Date]]))</f>
        <v>3</v>
      </c>
      <c r="P423" t="str">
        <f>IF(orders[[#This Row],[delivery days]]="","Not Delivered",IF(orders[[#This Row],[delivery days]]&lt;=2,"Fast",IF(orders[[#This Row],[delivery days]]&lt;=5,"Normal","Delayed")))</f>
        <v>Normal</v>
      </c>
    </row>
    <row r="424" spans="1:16" x14ac:dyDescent="0.25">
      <c r="A424" t="s">
        <v>560</v>
      </c>
      <c r="B424" s="5">
        <v>45820</v>
      </c>
      <c r="C424" t="s">
        <v>112</v>
      </c>
      <c r="D424" t="s">
        <v>14</v>
      </c>
      <c r="E424" t="s">
        <v>15</v>
      </c>
      <c r="F424">
        <v>2</v>
      </c>
      <c r="G424" s="1">
        <v>54</v>
      </c>
      <c r="H424" s="1">
        <v>17.64</v>
      </c>
      <c r="I424" s="5">
        <v>45822</v>
      </c>
      <c r="J424" t="s">
        <v>16</v>
      </c>
      <c r="K424" t="s">
        <v>17</v>
      </c>
      <c r="L424" t="s">
        <v>25</v>
      </c>
      <c r="M424" s="1">
        <f>(orders[[#This Row],[Revenue]]-orders[[#This Row],[Cost]])</f>
        <v>36.36</v>
      </c>
      <c r="N424" s="8">
        <f>IFERROR(orders[[#This Row],[profit]]/orders[[#This Row],[Revenue]],0)</f>
        <v>0.67333333333333334</v>
      </c>
      <c r="O424">
        <f>IF(orders[[#This Row],[Delivery Date]]="","",(orders[[#This Row],[Delivery Date]]-orders[[#This Row],[Date]]))</f>
        <v>2</v>
      </c>
      <c r="P424" t="str">
        <f>IF(orders[[#This Row],[delivery days]]="","Not Delivered",IF(orders[[#This Row],[delivery days]]&lt;=2,"Fast",IF(orders[[#This Row],[delivery days]]&lt;=5,"Normal","Delayed")))</f>
        <v>Fast</v>
      </c>
    </row>
    <row r="425" spans="1:16" x14ac:dyDescent="0.25">
      <c r="A425" t="s">
        <v>561</v>
      </c>
      <c r="B425" s="5">
        <v>45821</v>
      </c>
      <c r="C425" t="s">
        <v>60</v>
      </c>
      <c r="D425" t="s">
        <v>45</v>
      </c>
      <c r="E425" t="s">
        <v>34</v>
      </c>
      <c r="F425">
        <v>2</v>
      </c>
      <c r="G425" s="1">
        <v>144</v>
      </c>
      <c r="H425" s="1">
        <v>60.76</v>
      </c>
      <c r="I425" s="5">
        <v>45822</v>
      </c>
      <c r="J425" t="s">
        <v>46</v>
      </c>
      <c r="K425" t="s">
        <v>47</v>
      </c>
      <c r="L425" t="s">
        <v>25</v>
      </c>
      <c r="M425" s="1">
        <f>(orders[[#This Row],[Revenue]]-orders[[#This Row],[Cost]])</f>
        <v>83.240000000000009</v>
      </c>
      <c r="N425" s="8">
        <f>IFERROR(orders[[#This Row],[profit]]/orders[[#This Row],[Revenue]],0)</f>
        <v>0.57805555555555566</v>
      </c>
      <c r="O425">
        <f>IF(orders[[#This Row],[Delivery Date]]="","",(orders[[#This Row],[Delivery Date]]-orders[[#This Row],[Date]]))</f>
        <v>1</v>
      </c>
      <c r="P425" t="str">
        <f>IF(orders[[#This Row],[delivery days]]="","Not Delivered",IF(orders[[#This Row],[delivery days]]&lt;=2,"Fast",IF(orders[[#This Row],[delivery days]]&lt;=5,"Normal","Delayed")))</f>
        <v>Fast</v>
      </c>
    </row>
    <row r="426" spans="1:16" x14ac:dyDescent="0.25">
      <c r="A426" t="s">
        <v>562</v>
      </c>
      <c r="B426" s="5">
        <v>45821</v>
      </c>
      <c r="C426" t="s">
        <v>69</v>
      </c>
      <c r="D426" t="s">
        <v>45</v>
      </c>
      <c r="E426" t="s">
        <v>34</v>
      </c>
      <c r="F426">
        <v>1</v>
      </c>
      <c r="G426" s="1">
        <v>66.239999999999995</v>
      </c>
      <c r="H426" s="1">
        <v>31</v>
      </c>
      <c r="I426" s="5">
        <v>45823</v>
      </c>
      <c r="J426" t="s">
        <v>30</v>
      </c>
      <c r="K426" t="s">
        <v>35</v>
      </c>
      <c r="L426" t="s">
        <v>25</v>
      </c>
      <c r="M426" s="1">
        <f>(orders[[#This Row],[Revenue]]-orders[[#This Row],[Cost]])</f>
        <v>35.239999999999995</v>
      </c>
      <c r="N426" s="8">
        <f>IFERROR(orders[[#This Row],[profit]]/orders[[#This Row],[Revenue]],0)</f>
        <v>0.53200483091787432</v>
      </c>
      <c r="O426">
        <f>IF(orders[[#This Row],[Delivery Date]]="","",(orders[[#This Row],[Delivery Date]]-orders[[#This Row],[Date]]))</f>
        <v>2</v>
      </c>
      <c r="P426" t="str">
        <f>IF(orders[[#This Row],[delivery days]]="","Not Delivered",IF(orders[[#This Row],[delivery days]]&lt;=2,"Fast",IF(orders[[#This Row],[delivery days]]&lt;=5,"Normal","Delayed")))</f>
        <v>Fast</v>
      </c>
    </row>
    <row r="427" spans="1:16" x14ac:dyDescent="0.25">
      <c r="A427" t="s">
        <v>563</v>
      </c>
      <c r="B427" s="5">
        <v>45821</v>
      </c>
      <c r="C427" t="s">
        <v>210</v>
      </c>
      <c r="D427" t="s">
        <v>163</v>
      </c>
      <c r="E427" t="s">
        <v>39</v>
      </c>
      <c r="F427">
        <v>2</v>
      </c>
      <c r="G427" s="1">
        <v>190</v>
      </c>
      <c r="H427" s="1">
        <v>106.08</v>
      </c>
      <c r="I427" s="5">
        <v>45825</v>
      </c>
      <c r="J427" t="s">
        <v>30</v>
      </c>
      <c r="K427" t="s">
        <v>35</v>
      </c>
      <c r="L427" t="s">
        <v>25</v>
      </c>
      <c r="M427" s="1">
        <f>(orders[[#This Row],[Revenue]]-orders[[#This Row],[Cost]])</f>
        <v>83.92</v>
      </c>
      <c r="N427" s="8">
        <f>IFERROR(orders[[#This Row],[profit]]/orders[[#This Row],[Revenue]],0)</f>
        <v>0.44168421052631579</v>
      </c>
      <c r="O427">
        <f>IF(orders[[#This Row],[Delivery Date]]="","",(orders[[#This Row],[Delivery Date]]-orders[[#This Row],[Date]]))</f>
        <v>4</v>
      </c>
      <c r="P427" t="str">
        <f>IF(orders[[#This Row],[delivery days]]="","Not Delivered",IF(orders[[#This Row],[delivery days]]&lt;=2,"Fast",IF(orders[[#This Row],[delivery days]]&lt;=5,"Normal","Delayed")))</f>
        <v>Normal</v>
      </c>
    </row>
    <row r="428" spans="1:16" x14ac:dyDescent="0.25">
      <c r="A428" t="s">
        <v>564</v>
      </c>
      <c r="B428" s="5">
        <v>45823</v>
      </c>
      <c r="C428" t="s">
        <v>139</v>
      </c>
      <c r="D428" t="s">
        <v>58</v>
      </c>
      <c r="E428" t="s">
        <v>39</v>
      </c>
      <c r="F428">
        <v>1</v>
      </c>
      <c r="G428" s="1">
        <v>1212.5</v>
      </c>
      <c r="H428" s="1">
        <v>900</v>
      </c>
      <c r="I428" s="5">
        <v>45826</v>
      </c>
      <c r="J428" t="s">
        <v>30</v>
      </c>
      <c r="K428" t="s">
        <v>17</v>
      </c>
      <c r="L428" t="s">
        <v>25</v>
      </c>
      <c r="M428" s="1">
        <f>(orders[[#This Row],[Revenue]]-orders[[#This Row],[Cost]])</f>
        <v>312.5</v>
      </c>
      <c r="N428" s="8">
        <f>IFERROR(orders[[#This Row],[profit]]/orders[[#This Row],[Revenue]],0)</f>
        <v>0.25773195876288657</v>
      </c>
      <c r="O428">
        <f>IF(orders[[#This Row],[Delivery Date]]="","",(orders[[#This Row],[Delivery Date]]-orders[[#This Row],[Date]]))</f>
        <v>3</v>
      </c>
      <c r="P428" t="str">
        <f>IF(orders[[#This Row],[delivery days]]="","Not Delivered",IF(orders[[#This Row],[delivery days]]&lt;=2,"Fast",IF(orders[[#This Row],[delivery days]]&lt;=5,"Normal","Delayed")))</f>
        <v>Normal</v>
      </c>
    </row>
    <row r="429" spans="1:16" x14ac:dyDescent="0.25">
      <c r="A429" t="s">
        <v>565</v>
      </c>
      <c r="B429" s="5">
        <v>45823</v>
      </c>
      <c r="C429" t="s">
        <v>41</v>
      </c>
      <c r="D429" t="s">
        <v>159</v>
      </c>
      <c r="E429" t="s">
        <v>39</v>
      </c>
      <c r="F429">
        <v>3</v>
      </c>
      <c r="G429" s="1">
        <v>330</v>
      </c>
      <c r="H429" s="1">
        <v>186</v>
      </c>
      <c r="I429" s="5">
        <v>45824</v>
      </c>
      <c r="J429" t="s">
        <v>30</v>
      </c>
      <c r="K429" t="s">
        <v>35</v>
      </c>
      <c r="L429" t="s">
        <v>25</v>
      </c>
      <c r="M429" s="1">
        <f>(orders[[#This Row],[Revenue]]-orders[[#This Row],[Cost]])</f>
        <v>144</v>
      </c>
      <c r="N429" s="8">
        <f>IFERROR(orders[[#This Row],[profit]]/orders[[#This Row],[Revenue]],0)</f>
        <v>0.43636363636363634</v>
      </c>
      <c r="O429">
        <f>IF(orders[[#This Row],[Delivery Date]]="","",(orders[[#This Row],[Delivery Date]]-orders[[#This Row],[Date]]))</f>
        <v>1</v>
      </c>
      <c r="P429" t="str">
        <f>IF(orders[[#This Row],[delivery days]]="","Not Delivered",IF(orders[[#This Row],[delivery days]]&lt;=2,"Fast",IF(orders[[#This Row],[delivery days]]&lt;=5,"Normal","Delayed")))</f>
        <v>Fast</v>
      </c>
    </row>
    <row r="430" spans="1:16" x14ac:dyDescent="0.25">
      <c r="A430" t="s">
        <v>566</v>
      </c>
      <c r="B430" s="5">
        <v>45823</v>
      </c>
      <c r="C430" t="s">
        <v>195</v>
      </c>
      <c r="D430" t="s">
        <v>110</v>
      </c>
      <c r="E430" t="s">
        <v>39</v>
      </c>
      <c r="F430">
        <v>1</v>
      </c>
      <c r="G430" s="1">
        <v>226.8</v>
      </c>
      <c r="H430" s="1">
        <v>127.5</v>
      </c>
      <c r="I430" s="5">
        <v>45827</v>
      </c>
      <c r="J430" t="s">
        <v>16</v>
      </c>
      <c r="K430" t="s">
        <v>17</v>
      </c>
      <c r="L430" t="s">
        <v>25</v>
      </c>
      <c r="M430" s="1">
        <f>(orders[[#This Row],[Revenue]]-orders[[#This Row],[Cost]])</f>
        <v>99.300000000000011</v>
      </c>
      <c r="N430" s="8">
        <f>IFERROR(orders[[#This Row],[profit]]/orders[[#This Row],[Revenue]],0)</f>
        <v>0.43783068783068785</v>
      </c>
      <c r="O430">
        <f>IF(orders[[#This Row],[Delivery Date]]="","",(orders[[#This Row],[Delivery Date]]-orders[[#This Row],[Date]]))</f>
        <v>4</v>
      </c>
      <c r="P430" t="str">
        <f>IF(orders[[#This Row],[delivery days]]="","Not Delivered",IF(orders[[#This Row],[delivery days]]&lt;=2,"Fast",IF(orders[[#This Row],[delivery days]]&lt;=5,"Normal","Delayed")))</f>
        <v>Normal</v>
      </c>
    </row>
    <row r="431" spans="1:16" x14ac:dyDescent="0.25">
      <c r="A431" t="s">
        <v>567</v>
      </c>
      <c r="B431" s="5">
        <v>45824</v>
      </c>
      <c r="C431" t="s">
        <v>67</v>
      </c>
      <c r="D431" t="s">
        <v>168</v>
      </c>
      <c r="E431" t="s">
        <v>29</v>
      </c>
      <c r="F431">
        <v>4</v>
      </c>
      <c r="G431" s="1">
        <v>85.36</v>
      </c>
      <c r="H431" s="1">
        <v>32</v>
      </c>
      <c r="I431" s="5">
        <v>45827</v>
      </c>
      <c r="J431" t="s">
        <v>30</v>
      </c>
      <c r="K431" t="s">
        <v>17</v>
      </c>
      <c r="L431" t="s">
        <v>25</v>
      </c>
      <c r="M431" s="1">
        <f>(orders[[#This Row],[Revenue]]-orders[[#This Row],[Cost]])</f>
        <v>53.36</v>
      </c>
      <c r="N431" s="8">
        <f>IFERROR(orders[[#This Row],[profit]]/orders[[#This Row],[Revenue]],0)</f>
        <v>0.62511715089034681</v>
      </c>
      <c r="O431">
        <f>IF(orders[[#This Row],[Delivery Date]]="","",(orders[[#This Row],[Delivery Date]]-orders[[#This Row],[Date]]))</f>
        <v>3</v>
      </c>
      <c r="P431" t="str">
        <f>IF(orders[[#This Row],[delivery days]]="","Not Delivered",IF(orders[[#This Row],[delivery days]]&lt;=2,"Fast",IF(orders[[#This Row],[delivery days]]&lt;=5,"Normal","Delayed")))</f>
        <v>Normal</v>
      </c>
    </row>
    <row r="432" spans="1:16" x14ac:dyDescent="0.25">
      <c r="A432" t="s">
        <v>568</v>
      </c>
      <c r="B432" s="5">
        <v>45824</v>
      </c>
      <c r="C432" t="s">
        <v>325</v>
      </c>
      <c r="D432" t="s">
        <v>177</v>
      </c>
      <c r="E432" t="s">
        <v>34</v>
      </c>
      <c r="F432">
        <v>2</v>
      </c>
      <c r="G432" s="1">
        <v>313.2</v>
      </c>
      <c r="H432" s="1">
        <v>156</v>
      </c>
      <c r="I432" s="5">
        <v>45826</v>
      </c>
      <c r="J432" t="s">
        <v>23</v>
      </c>
      <c r="K432" t="s">
        <v>24</v>
      </c>
      <c r="L432" t="s">
        <v>25</v>
      </c>
      <c r="M432" s="1">
        <f>(orders[[#This Row],[Revenue]]-orders[[#This Row],[Cost]])</f>
        <v>157.19999999999999</v>
      </c>
      <c r="N432" s="8">
        <f>IFERROR(orders[[#This Row],[profit]]/orders[[#This Row],[Revenue]],0)</f>
        <v>0.50191570881226055</v>
      </c>
      <c r="O432">
        <f>IF(orders[[#This Row],[Delivery Date]]="","",(orders[[#This Row],[Delivery Date]]-orders[[#This Row],[Date]]))</f>
        <v>2</v>
      </c>
      <c r="P432" t="str">
        <f>IF(orders[[#This Row],[delivery days]]="","Not Delivered",IF(orders[[#This Row],[delivery days]]&lt;=2,"Fast",IF(orders[[#This Row],[delivery days]]&lt;=5,"Normal","Delayed")))</f>
        <v>Fast</v>
      </c>
    </row>
    <row r="433" spans="1:16" x14ac:dyDescent="0.25">
      <c r="A433" t="s">
        <v>569</v>
      </c>
      <c r="B433" s="5">
        <v>45825</v>
      </c>
      <c r="C433" t="s">
        <v>64</v>
      </c>
      <c r="D433" t="s">
        <v>70</v>
      </c>
      <c r="E433" t="s">
        <v>62</v>
      </c>
      <c r="F433">
        <v>1</v>
      </c>
      <c r="G433" s="1">
        <v>135</v>
      </c>
      <c r="H433" s="1">
        <v>78</v>
      </c>
      <c r="I433" s="5">
        <v>45827</v>
      </c>
      <c r="J433" t="s">
        <v>23</v>
      </c>
      <c r="K433" t="s">
        <v>17</v>
      </c>
      <c r="L433" t="s">
        <v>25</v>
      </c>
      <c r="M433" s="1">
        <f>(orders[[#This Row],[Revenue]]-orders[[#This Row],[Cost]])</f>
        <v>57</v>
      </c>
      <c r="N433" s="8">
        <f>IFERROR(orders[[#This Row],[profit]]/orders[[#This Row],[Revenue]],0)</f>
        <v>0.42222222222222222</v>
      </c>
      <c r="O433">
        <f>IF(orders[[#This Row],[Delivery Date]]="","",(orders[[#This Row],[Delivery Date]]-orders[[#This Row],[Date]]))</f>
        <v>2</v>
      </c>
      <c r="P433" t="str">
        <f>IF(orders[[#This Row],[delivery days]]="","Not Delivered",IF(orders[[#This Row],[delivery days]]&lt;=2,"Fast",IF(orders[[#This Row],[delivery days]]&lt;=5,"Normal","Delayed")))</f>
        <v>Fast</v>
      </c>
    </row>
    <row r="434" spans="1:16" x14ac:dyDescent="0.25">
      <c r="A434" t="s">
        <v>570</v>
      </c>
      <c r="B434" s="5">
        <v>45826</v>
      </c>
      <c r="C434" t="s">
        <v>60</v>
      </c>
      <c r="D434" t="s">
        <v>28</v>
      </c>
      <c r="E434" t="s">
        <v>29</v>
      </c>
      <c r="F434">
        <v>1</v>
      </c>
      <c r="G434" s="1">
        <v>24</v>
      </c>
      <c r="H434" s="1">
        <v>9</v>
      </c>
      <c r="I434" s="5">
        <v>45830</v>
      </c>
      <c r="J434" t="s">
        <v>30</v>
      </c>
      <c r="K434" t="s">
        <v>17</v>
      </c>
      <c r="L434" t="s">
        <v>25</v>
      </c>
      <c r="M434" s="1">
        <f>(orders[[#This Row],[Revenue]]-orders[[#This Row],[Cost]])</f>
        <v>15</v>
      </c>
      <c r="N434" s="8">
        <f>IFERROR(orders[[#This Row],[profit]]/orders[[#This Row],[Revenue]],0)</f>
        <v>0.625</v>
      </c>
      <c r="O434">
        <f>IF(orders[[#This Row],[Delivery Date]]="","",(orders[[#This Row],[Delivery Date]]-orders[[#This Row],[Date]]))</f>
        <v>4</v>
      </c>
      <c r="P434" t="str">
        <f>IF(orders[[#This Row],[delivery days]]="","Not Delivered",IF(orders[[#This Row],[delivery days]]&lt;=2,"Fast",IF(orders[[#This Row],[delivery days]]&lt;=5,"Normal","Delayed")))</f>
        <v>Normal</v>
      </c>
    </row>
    <row r="435" spans="1:16" x14ac:dyDescent="0.25">
      <c r="A435" t="s">
        <v>571</v>
      </c>
      <c r="B435" s="5">
        <v>45826</v>
      </c>
      <c r="C435" t="s">
        <v>20</v>
      </c>
      <c r="D435" t="s">
        <v>135</v>
      </c>
      <c r="E435" t="s">
        <v>62</v>
      </c>
      <c r="F435">
        <v>2</v>
      </c>
      <c r="G435" s="1">
        <v>223.1</v>
      </c>
      <c r="H435" s="1">
        <v>126</v>
      </c>
      <c r="I435" s="5">
        <v>45829</v>
      </c>
      <c r="J435" t="s">
        <v>16</v>
      </c>
      <c r="K435" t="s">
        <v>17</v>
      </c>
      <c r="L435" t="s">
        <v>25</v>
      </c>
      <c r="M435" s="1">
        <f>(orders[[#This Row],[Revenue]]-orders[[#This Row],[Cost]])</f>
        <v>97.1</v>
      </c>
      <c r="N435" s="8">
        <f>IFERROR(orders[[#This Row],[profit]]/orders[[#This Row],[Revenue]],0)</f>
        <v>0.43523083818915281</v>
      </c>
      <c r="O435">
        <f>IF(orders[[#This Row],[Delivery Date]]="","",(orders[[#This Row],[Delivery Date]]-orders[[#This Row],[Date]]))</f>
        <v>3</v>
      </c>
      <c r="P435" t="str">
        <f>IF(orders[[#This Row],[delivery days]]="","Not Delivered",IF(orders[[#This Row],[delivery days]]&lt;=2,"Fast",IF(orders[[#This Row],[delivery days]]&lt;=5,"Normal","Delayed")))</f>
        <v>Normal</v>
      </c>
    </row>
    <row r="436" spans="1:16" x14ac:dyDescent="0.25">
      <c r="A436" t="s">
        <v>572</v>
      </c>
      <c r="B436" s="5">
        <v>45826</v>
      </c>
      <c r="C436" t="s">
        <v>142</v>
      </c>
      <c r="D436" t="s">
        <v>70</v>
      </c>
      <c r="E436" t="s">
        <v>62</v>
      </c>
      <c r="F436">
        <v>1</v>
      </c>
      <c r="G436" s="1">
        <v>135</v>
      </c>
      <c r="H436" s="1">
        <v>79.56</v>
      </c>
      <c r="I436" s="5">
        <v>45827</v>
      </c>
      <c r="J436" t="s">
        <v>16</v>
      </c>
      <c r="K436" t="s">
        <v>35</v>
      </c>
      <c r="L436" t="s">
        <v>25</v>
      </c>
      <c r="M436" s="1">
        <f>(orders[[#This Row],[Revenue]]-orders[[#This Row],[Cost]])</f>
        <v>55.44</v>
      </c>
      <c r="N436" s="8">
        <f>IFERROR(orders[[#This Row],[profit]]/orders[[#This Row],[Revenue]],0)</f>
        <v>0.41066666666666662</v>
      </c>
      <c r="O436">
        <f>IF(orders[[#This Row],[Delivery Date]]="","",(orders[[#This Row],[Delivery Date]]-orders[[#This Row],[Date]]))</f>
        <v>1</v>
      </c>
      <c r="P436" t="str">
        <f>IF(orders[[#This Row],[delivery days]]="","Not Delivered",IF(orders[[#This Row],[delivery days]]&lt;=2,"Fast",IF(orders[[#This Row],[delivery days]]&lt;=5,"Normal","Delayed")))</f>
        <v>Fast</v>
      </c>
    </row>
    <row r="437" spans="1:16" x14ac:dyDescent="0.25">
      <c r="A437" t="s">
        <v>573</v>
      </c>
      <c r="B437" s="5">
        <v>45826</v>
      </c>
      <c r="C437" t="s">
        <v>269</v>
      </c>
      <c r="D437" t="s">
        <v>224</v>
      </c>
      <c r="E437" t="s">
        <v>77</v>
      </c>
      <c r="F437">
        <v>1</v>
      </c>
      <c r="G437" s="1">
        <v>125</v>
      </c>
      <c r="H437" s="1">
        <v>67</v>
      </c>
      <c r="I437" s="5">
        <v>45827</v>
      </c>
      <c r="J437" t="s">
        <v>23</v>
      </c>
      <c r="K437" t="s">
        <v>17</v>
      </c>
      <c r="L437" t="s">
        <v>25</v>
      </c>
      <c r="M437" s="1">
        <f>(orders[[#This Row],[Revenue]]-orders[[#This Row],[Cost]])</f>
        <v>58</v>
      </c>
      <c r="N437" s="8">
        <f>IFERROR(orders[[#This Row],[profit]]/orders[[#This Row],[Revenue]],0)</f>
        <v>0.46400000000000002</v>
      </c>
      <c r="O437">
        <f>IF(orders[[#This Row],[Delivery Date]]="","",(orders[[#This Row],[Delivery Date]]-orders[[#This Row],[Date]]))</f>
        <v>1</v>
      </c>
      <c r="P437" t="str">
        <f>IF(orders[[#This Row],[delivery days]]="","Not Delivered",IF(orders[[#This Row],[delivery days]]&lt;=2,"Fast",IF(orders[[#This Row],[delivery days]]&lt;=5,"Normal","Delayed")))</f>
        <v>Fast</v>
      </c>
    </row>
    <row r="438" spans="1:16" x14ac:dyDescent="0.25">
      <c r="A438" t="s">
        <v>574</v>
      </c>
      <c r="B438" s="5">
        <v>45826</v>
      </c>
      <c r="C438" t="s">
        <v>161</v>
      </c>
      <c r="D438" t="s">
        <v>219</v>
      </c>
      <c r="E438" t="s">
        <v>34</v>
      </c>
      <c r="F438">
        <v>1</v>
      </c>
      <c r="G438" s="1">
        <v>28</v>
      </c>
      <c r="H438" s="1">
        <v>11</v>
      </c>
      <c r="I438" s="5">
        <v>45830</v>
      </c>
      <c r="J438" t="s">
        <v>101</v>
      </c>
      <c r="K438" t="s">
        <v>35</v>
      </c>
      <c r="L438" t="s">
        <v>25</v>
      </c>
      <c r="M438" s="1">
        <f>(orders[[#This Row],[Revenue]]-orders[[#This Row],[Cost]])</f>
        <v>17</v>
      </c>
      <c r="N438" s="8">
        <f>IFERROR(orders[[#This Row],[profit]]/orders[[#This Row],[Revenue]],0)</f>
        <v>0.6071428571428571</v>
      </c>
      <c r="O438">
        <f>IF(orders[[#This Row],[Delivery Date]]="","",(orders[[#This Row],[Delivery Date]]-orders[[#This Row],[Date]]))</f>
        <v>4</v>
      </c>
      <c r="P438" t="str">
        <f>IF(orders[[#This Row],[delivery days]]="","Not Delivered",IF(orders[[#This Row],[delivery days]]&lt;=2,"Fast",IF(orders[[#This Row],[delivery days]]&lt;=5,"Normal","Delayed")))</f>
        <v>Normal</v>
      </c>
    </row>
    <row r="439" spans="1:16" x14ac:dyDescent="0.25">
      <c r="A439" t="s">
        <v>575</v>
      </c>
      <c r="B439" s="5">
        <v>45826</v>
      </c>
      <c r="C439" t="s">
        <v>181</v>
      </c>
      <c r="D439" t="s">
        <v>83</v>
      </c>
      <c r="E439" t="s">
        <v>15</v>
      </c>
      <c r="F439">
        <v>2</v>
      </c>
      <c r="G439" s="1">
        <v>138</v>
      </c>
      <c r="H439" s="1">
        <v>76.44</v>
      </c>
      <c r="I439" s="5"/>
      <c r="J439" t="s">
        <v>23</v>
      </c>
      <c r="K439" t="s">
        <v>17</v>
      </c>
      <c r="L439" t="s">
        <v>42</v>
      </c>
      <c r="M439" s="1">
        <f>(orders[[#This Row],[Revenue]]-orders[[#This Row],[Cost]])</f>
        <v>61.56</v>
      </c>
      <c r="N439" s="8">
        <f>IFERROR(orders[[#This Row],[profit]]/orders[[#This Row],[Revenue]],0)</f>
        <v>0.44608695652173913</v>
      </c>
      <c r="O439" t="str">
        <f>IF(orders[[#This Row],[Delivery Date]]="","",(orders[[#This Row],[Delivery Date]]-orders[[#This Row],[Date]]))</f>
        <v/>
      </c>
      <c r="P439" t="str">
        <f>IF(orders[[#This Row],[delivery days]]="","Not Delivered",IF(orders[[#This Row],[delivery days]]&lt;=2,"Fast",IF(orders[[#This Row],[delivery days]]&lt;=5,"Normal","Delayed")))</f>
        <v>Not Delivered</v>
      </c>
    </row>
    <row r="440" spans="1:16" x14ac:dyDescent="0.25">
      <c r="A440" t="s">
        <v>576</v>
      </c>
      <c r="B440" s="5">
        <v>45826</v>
      </c>
      <c r="C440" t="s">
        <v>161</v>
      </c>
      <c r="D440" t="s">
        <v>163</v>
      </c>
      <c r="E440" t="s">
        <v>39</v>
      </c>
      <c r="F440">
        <v>1</v>
      </c>
      <c r="G440" s="1">
        <v>95</v>
      </c>
      <c r="H440" s="1">
        <v>52</v>
      </c>
      <c r="I440" s="5">
        <v>45829</v>
      </c>
      <c r="J440" t="s">
        <v>52</v>
      </c>
      <c r="K440" t="s">
        <v>47</v>
      </c>
      <c r="L440" t="s">
        <v>25</v>
      </c>
      <c r="M440" s="1">
        <f>(orders[[#This Row],[Revenue]]-orders[[#This Row],[Cost]])</f>
        <v>43</v>
      </c>
      <c r="N440" s="8">
        <f>IFERROR(orders[[#This Row],[profit]]/orders[[#This Row],[Revenue]],0)</f>
        <v>0.45263157894736844</v>
      </c>
      <c r="O440">
        <f>IF(orders[[#This Row],[Delivery Date]]="","",(orders[[#This Row],[Delivery Date]]-orders[[#This Row],[Date]]))</f>
        <v>3</v>
      </c>
      <c r="P440" t="str">
        <f>IF(orders[[#This Row],[delivery days]]="","Not Delivered",IF(orders[[#This Row],[delivery days]]&lt;=2,"Fast",IF(orders[[#This Row],[delivery days]]&lt;=5,"Normal","Delayed")))</f>
        <v>Normal</v>
      </c>
    </row>
    <row r="441" spans="1:16" x14ac:dyDescent="0.25">
      <c r="A441" t="s">
        <v>577</v>
      </c>
      <c r="B441" s="5">
        <v>45827</v>
      </c>
      <c r="C441" t="s">
        <v>99</v>
      </c>
      <c r="D441" t="s">
        <v>266</v>
      </c>
      <c r="E441" t="s">
        <v>22</v>
      </c>
      <c r="F441">
        <v>1</v>
      </c>
      <c r="G441" s="1">
        <v>18</v>
      </c>
      <c r="H441" s="1">
        <v>7</v>
      </c>
      <c r="I441" s="5">
        <v>45830</v>
      </c>
      <c r="J441" t="s">
        <v>46</v>
      </c>
      <c r="K441" t="s">
        <v>24</v>
      </c>
      <c r="L441" t="s">
        <v>25</v>
      </c>
      <c r="M441" s="1">
        <f>(orders[[#This Row],[Revenue]]-orders[[#This Row],[Cost]])</f>
        <v>11</v>
      </c>
      <c r="N441" s="8">
        <f>IFERROR(orders[[#This Row],[profit]]/orders[[#This Row],[Revenue]],0)</f>
        <v>0.61111111111111116</v>
      </c>
      <c r="O441">
        <f>IF(orders[[#This Row],[Delivery Date]]="","",(orders[[#This Row],[Delivery Date]]-orders[[#This Row],[Date]]))</f>
        <v>3</v>
      </c>
      <c r="P441" t="str">
        <f>IF(orders[[#This Row],[delivery days]]="","Not Delivered",IF(orders[[#This Row],[delivery days]]&lt;=2,"Fast",IF(orders[[#This Row],[delivery days]]&lt;=5,"Normal","Delayed")))</f>
        <v>Normal</v>
      </c>
    </row>
    <row r="442" spans="1:16" x14ac:dyDescent="0.25">
      <c r="A442" t="s">
        <v>578</v>
      </c>
      <c r="B442" s="5">
        <v>45827</v>
      </c>
      <c r="C442" t="s">
        <v>49</v>
      </c>
      <c r="D442" t="s">
        <v>187</v>
      </c>
      <c r="E442" t="s">
        <v>15</v>
      </c>
      <c r="F442">
        <v>4</v>
      </c>
      <c r="G442" s="1">
        <v>140</v>
      </c>
      <c r="H442" s="1">
        <v>64</v>
      </c>
      <c r="I442" s="5">
        <v>45830</v>
      </c>
      <c r="J442" t="s">
        <v>23</v>
      </c>
      <c r="K442" t="s">
        <v>24</v>
      </c>
      <c r="L442" t="s">
        <v>25</v>
      </c>
      <c r="M442" s="1">
        <f>(orders[[#This Row],[Revenue]]-orders[[#This Row],[Cost]])</f>
        <v>76</v>
      </c>
      <c r="N442" s="8">
        <f>IFERROR(orders[[#This Row],[profit]]/orders[[#This Row],[Revenue]],0)</f>
        <v>0.54285714285714282</v>
      </c>
      <c r="O442">
        <f>IF(orders[[#This Row],[Delivery Date]]="","",(orders[[#This Row],[Delivery Date]]-orders[[#This Row],[Date]]))</f>
        <v>3</v>
      </c>
      <c r="P442" t="str">
        <f>IF(orders[[#This Row],[delivery days]]="","Not Delivered",IF(orders[[#This Row],[delivery days]]&lt;=2,"Fast",IF(orders[[#This Row],[delivery days]]&lt;=5,"Normal","Delayed")))</f>
        <v>Normal</v>
      </c>
    </row>
    <row r="443" spans="1:16" x14ac:dyDescent="0.25">
      <c r="A443" t="s">
        <v>579</v>
      </c>
      <c r="B443" s="5">
        <v>45827</v>
      </c>
      <c r="C443" t="s">
        <v>246</v>
      </c>
      <c r="D443" t="s">
        <v>208</v>
      </c>
      <c r="E443" t="s">
        <v>15</v>
      </c>
      <c r="F443">
        <v>1</v>
      </c>
      <c r="G443" s="1">
        <v>133.9</v>
      </c>
      <c r="H443" s="1">
        <v>76</v>
      </c>
      <c r="I443" s="5"/>
      <c r="J443" t="s">
        <v>46</v>
      </c>
      <c r="K443" t="s">
        <v>24</v>
      </c>
      <c r="L443" t="s">
        <v>42</v>
      </c>
      <c r="M443" s="1">
        <f>(orders[[#This Row],[Revenue]]-orders[[#This Row],[Cost]])</f>
        <v>57.900000000000006</v>
      </c>
      <c r="N443" s="8">
        <f>IFERROR(orders[[#This Row],[profit]]/orders[[#This Row],[Revenue]],0)</f>
        <v>0.43241224794622857</v>
      </c>
      <c r="O443" t="str">
        <f>IF(orders[[#This Row],[Delivery Date]]="","",(orders[[#This Row],[Delivery Date]]-orders[[#This Row],[Date]]))</f>
        <v/>
      </c>
      <c r="P443" t="str">
        <f>IF(orders[[#This Row],[delivery days]]="","Not Delivered",IF(orders[[#This Row],[delivery days]]&lt;=2,"Fast",IF(orders[[#This Row],[delivery days]]&lt;=5,"Normal","Delayed")))</f>
        <v>Not Delivered</v>
      </c>
    </row>
    <row r="444" spans="1:16" x14ac:dyDescent="0.25">
      <c r="A444" t="s">
        <v>580</v>
      </c>
      <c r="B444" s="5">
        <v>45827</v>
      </c>
      <c r="C444" t="s">
        <v>75</v>
      </c>
      <c r="D444" t="s">
        <v>289</v>
      </c>
      <c r="E444" t="s">
        <v>22</v>
      </c>
      <c r="F444">
        <v>2</v>
      </c>
      <c r="G444" s="1">
        <v>127.72</v>
      </c>
      <c r="H444" s="1">
        <v>58</v>
      </c>
      <c r="I444" s="5">
        <v>45828</v>
      </c>
      <c r="J444" t="s">
        <v>23</v>
      </c>
      <c r="K444" t="s">
        <v>24</v>
      </c>
      <c r="L444" t="s">
        <v>25</v>
      </c>
      <c r="M444" s="1">
        <f>(orders[[#This Row],[Revenue]]-orders[[#This Row],[Cost]])</f>
        <v>69.72</v>
      </c>
      <c r="N444" s="8">
        <f>IFERROR(orders[[#This Row],[profit]]/orders[[#This Row],[Revenue]],0)</f>
        <v>0.54588161603507668</v>
      </c>
      <c r="O444">
        <f>IF(orders[[#This Row],[Delivery Date]]="","",(orders[[#This Row],[Delivery Date]]-orders[[#This Row],[Date]]))</f>
        <v>1</v>
      </c>
      <c r="P444" t="str">
        <f>IF(orders[[#This Row],[delivery days]]="","Not Delivered",IF(orders[[#This Row],[delivery days]]&lt;=2,"Fast",IF(orders[[#This Row],[delivery days]]&lt;=5,"Normal","Delayed")))</f>
        <v>Fast</v>
      </c>
    </row>
    <row r="445" spans="1:16" x14ac:dyDescent="0.25">
      <c r="A445" t="s">
        <v>581</v>
      </c>
      <c r="B445" s="5">
        <v>45828</v>
      </c>
      <c r="C445" t="s">
        <v>75</v>
      </c>
      <c r="D445" t="s">
        <v>177</v>
      </c>
      <c r="E445" t="s">
        <v>34</v>
      </c>
      <c r="F445">
        <v>1</v>
      </c>
      <c r="G445" s="1">
        <v>140.65</v>
      </c>
      <c r="H445" s="1">
        <v>78</v>
      </c>
      <c r="I445" s="5">
        <v>45831</v>
      </c>
      <c r="J445" t="s">
        <v>16</v>
      </c>
      <c r="K445" t="s">
        <v>35</v>
      </c>
      <c r="L445" t="s">
        <v>25</v>
      </c>
      <c r="M445" s="1">
        <f>(orders[[#This Row],[Revenue]]-orders[[#This Row],[Cost]])</f>
        <v>62.650000000000006</v>
      </c>
      <c r="N445" s="8">
        <f>IFERROR(orders[[#This Row],[profit]]/orders[[#This Row],[Revenue]],0)</f>
        <v>0.44543192321365094</v>
      </c>
      <c r="O445">
        <f>IF(orders[[#This Row],[Delivery Date]]="","",(orders[[#This Row],[Delivery Date]]-orders[[#This Row],[Date]]))</f>
        <v>3</v>
      </c>
      <c r="P445" t="str">
        <f>IF(orders[[#This Row],[delivery days]]="","Not Delivered",IF(orders[[#This Row],[delivery days]]&lt;=2,"Fast",IF(orders[[#This Row],[delivery days]]&lt;=5,"Normal","Delayed")))</f>
        <v>Normal</v>
      </c>
    </row>
    <row r="446" spans="1:16" x14ac:dyDescent="0.25">
      <c r="A446" t="s">
        <v>582</v>
      </c>
      <c r="B446" s="5">
        <v>45829</v>
      </c>
      <c r="C446" t="s">
        <v>105</v>
      </c>
      <c r="D446" t="s">
        <v>219</v>
      </c>
      <c r="E446" t="s">
        <v>34</v>
      </c>
      <c r="F446">
        <v>3</v>
      </c>
      <c r="G446" s="1">
        <v>84</v>
      </c>
      <c r="H446" s="1">
        <v>33</v>
      </c>
      <c r="I446" s="5">
        <v>45830</v>
      </c>
      <c r="J446" t="s">
        <v>30</v>
      </c>
      <c r="K446" t="s">
        <v>35</v>
      </c>
      <c r="L446" t="s">
        <v>25</v>
      </c>
      <c r="M446" s="1">
        <f>(orders[[#This Row],[Revenue]]-orders[[#This Row],[Cost]])</f>
        <v>51</v>
      </c>
      <c r="N446" s="8">
        <f>IFERROR(orders[[#This Row],[profit]]/orders[[#This Row],[Revenue]],0)</f>
        <v>0.6071428571428571</v>
      </c>
      <c r="O446">
        <f>IF(orders[[#This Row],[Delivery Date]]="","",(orders[[#This Row],[Delivery Date]]-orders[[#This Row],[Date]]))</f>
        <v>1</v>
      </c>
      <c r="P446" t="str">
        <f>IF(orders[[#This Row],[delivery days]]="","Not Delivered",IF(orders[[#This Row],[delivery days]]&lt;=2,"Fast",IF(orders[[#This Row],[delivery days]]&lt;=5,"Normal","Delayed")))</f>
        <v>Fast</v>
      </c>
    </row>
    <row r="447" spans="1:16" x14ac:dyDescent="0.25">
      <c r="A447" t="s">
        <v>583</v>
      </c>
      <c r="B447" s="5">
        <v>45829</v>
      </c>
      <c r="C447" t="s">
        <v>49</v>
      </c>
      <c r="D447" t="s">
        <v>289</v>
      </c>
      <c r="E447" t="s">
        <v>22</v>
      </c>
      <c r="F447">
        <v>2</v>
      </c>
      <c r="G447" s="1">
        <v>127.72</v>
      </c>
      <c r="H447" s="1">
        <v>58</v>
      </c>
      <c r="I447" s="5">
        <v>45831</v>
      </c>
      <c r="J447" t="s">
        <v>46</v>
      </c>
      <c r="K447" t="s">
        <v>24</v>
      </c>
      <c r="L447" t="s">
        <v>18</v>
      </c>
      <c r="M447" s="1">
        <f>(orders[[#This Row],[Revenue]]-orders[[#This Row],[Cost]])</f>
        <v>69.72</v>
      </c>
      <c r="N447" s="8">
        <f>IFERROR(orders[[#This Row],[profit]]/orders[[#This Row],[Revenue]],0)</f>
        <v>0.54588161603507668</v>
      </c>
      <c r="O447">
        <f>IF(orders[[#This Row],[Delivery Date]]="","",(orders[[#This Row],[Delivery Date]]-orders[[#This Row],[Date]]))</f>
        <v>2</v>
      </c>
      <c r="P447" t="str">
        <f>IF(orders[[#This Row],[delivery days]]="","Not Delivered",IF(orders[[#This Row],[delivery days]]&lt;=2,"Fast",IF(orders[[#This Row],[delivery days]]&lt;=5,"Normal","Delayed")))</f>
        <v>Fast</v>
      </c>
    </row>
    <row r="448" spans="1:16" x14ac:dyDescent="0.25">
      <c r="A448" t="s">
        <v>584</v>
      </c>
      <c r="B448" s="5">
        <v>45829</v>
      </c>
      <c r="C448" t="s">
        <v>228</v>
      </c>
      <c r="D448" t="s">
        <v>300</v>
      </c>
      <c r="E448" t="s">
        <v>77</v>
      </c>
      <c r="F448">
        <v>1</v>
      </c>
      <c r="G448" s="1">
        <v>401.7</v>
      </c>
      <c r="H448" s="1">
        <v>245</v>
      </c>
      <c r="I448" s="5">
        <v>45833</v>
      </c>
      <c r="J448" t="s">
        <v>30</v>
      </c>
      <c r="K448" t="s">
        <v>17</v>
      </c>
      <c r="L448" t="s">
        <v>25</v>
      </c>
      <c r="M448" s="1">
        <f>(orders[[#This Row],[Revenue]]-orders[[#This Row],[Cost]])</f>
        <v>156.69999999999999</v>
      </c>
      <c r="N448" s="8">
        <f>IFERROR(orders[[#This Row],[profit]]/orders[[#This Row],[Revenue]],0)</f>
        <v>0.39009210853871046</v>
      </c>
      <c r="O448">
        <f>IF(orders[[#This Row],[Delivery Date]]="","",(orders[[#This Row],[Delivery Date]]-orders[[#This Row],[Date]]))</f>
        <v>4</v>
      </c>
      <c r="P448" t="str">
        <f>IF(orders[[#This Row],[delivery days]]="","Not Delivered",IF(orders[[#This Row],[delivery days]]&lt;=2,"Fast",IF(orders[[#This Row],[delivery days]]&lt;=5,"Normal","Delayed")))</f>
        <v>Normal</v>
      </c>
    </row>
    <row r="449" spans="1:16" x14ac:dyDescent="0.25">
      <c r="A449" t="s">
        <v>585</v>
      </c>
      <c r="B449" s="5">
        <v>45829</v>
      </c>
      <c r="C449" t="s">
        <v>210</v>
      </c>
      <c r="D449" t="s">
        <v>300</v>
      </c>
      <c r="E449" t="s">
        <v>77</v>
      </c>
      <c r="F449">
        <v>1</v>
      </c>
      <c r="G449" s="1">
        <v>358.8</v>
      </c>
      <c r="H449" s="1">
        <v>245</v>
      </c>
      <c r="I449" s="5">
        <v>45832</v>
      </c>
      <c r="J449" t="s">
        <v>101</v>
      </c>
      <c r="K449" t="s">
        <v>35</v>
      </c>
      <c r="L449" t="s">
        <v>25</v>
      </c>
      <c r="M449" s="1">
        <f>(orders[[#This Row],[Revenue]]-orders[[#This Row],[Cost]])</f>
        <v>113.80000000000001</v>
      </c>
      <c r="N449" s="8">
        <f>IFERROR(orders[[#This Row],[profit]]/orders[[#This Row],[Revenue]],0)</f>
        <v>0.31716833890746937</v>
      </c>
      <c r="O449">
        <f>IF(orders[[#This Row],[Delivery Date]]="","",(orders[[#This Row],[Delivery Date]]-orders[[#This Row],[Date]]))</f>
        <v>3</v>
      </c>
      <c r="P449" t="str">
        <f>IF(orders[[#This Row],[delivery days]]="","Not Delivered",IF(orders[[#This Row],[delivery days]]&lt;=2,"Fast",IF(orders[[#This Row],[delivery days]]&lt;=5,"Normal","Delayed")))</f>
        <v>Normal</v>
      </c>
    </row>
    <row r="450" spans="1:16" x14ac:dyDescent="0.25">
      <c r="A450" t="s">
        <v>586</v>
      </c>
      <c r="B450" s="5">
        <v>45830</v>
      </c>
      <c r="C450" t="s">
        <v>269</v>
      </c>
      <c r="D450" t="s">
        <v>108</v>
      </c>
      <c r="E450" t="s">
        <v>22</v>
      </c>
      <c r="F450">
        <v>1</v>
      </c>
      <c r="G450" s="1">
        <v>95</v>
      </c>
      <c r="H450" s="1">
        <v>42.84</v>
      </c>
      <c r="I450" s="5">
        <v>45832</v>
      </c>
      <c r="J450" t="s">
        <v>46</v>
      </c>
      <c r="K450" t="s">
        <v>47</v>
      </c>
      <c r="L450" t="s">
        <v>25</v>
      </c>
      <c r="M450" s="1">
        <f>(orders[[#This Row],[Revenue]]-orders[[#This Row],[Cost]])</f>
        <v>52.16</v>
      </c>
      <c r="N450" s="8">
        <f>IFERROR(orders[[#This Row],[profit]]/orders[[#This Row],[Revenue]],0)</f>
        <v>0.54905263157894735</v>
      </c>
      <c r="O450">
        <f>IF(orders[[#This Row],[Delivery Date]]="","",(orders[[#This Row],[Delivery Date]]-orders[[#This Row],[Date]]))</f>
        <v>2</v>
      </c>
      <c r="P450" t="str">
        <f>IF(orders[[#This Row],[delivery days]]="","Not Delivered",IF(orders[[#This Row],[delivery days]]&lt;=2,"Fast",IF(orders[[#This Row],[delivery days]]&lt;=5,"Normal","Delayed")))</f>
        <v>Fast</v>
      </c>
    </row>
    <row r="451" spans="1:16" x14ac:dyDescent="0.25">
      <c r="A451" t="s">
        <v>587</v>
      </c>
      <c r="B451" s="5">
        <v>45831</v>
      </c>
      <c r="C451" t="s">
        <v>278</v>
      </c>
      <c r="D451" t="s">
        <v>76</v>
      </c>
      <c r="E451" t="s">
        <v>77</v>
      </c>
      <c r="F451">
        <v>1</v>
      </c>
      <c r="G451" s="1">
        <v>267.8</v>
      </c>
      <c r="H451" s="1">
        <v>165</v>
      </c>
      <c r="I451" s="5">
        <v>45836</v>
      </c>
      <c r="J451" t="s">
        <v>23</v>
      </c>
      <c r="K451" t="s">
        <v>17</v>
      </c>
      <c r="L451" t="s">
        <v>25</v>
      </c>
      <c r="M451" s="1">
        <f>(orders[[#This Row],[Revenue]]-orders[[#This Row],[Cost]])</f>
        <v>102.80000000000001</v>
      </c>
      <c r="N451" s="8">
        <f>IFERROR(orders[[#This Row],[profit]]/orders[[#This Row],[Revenue]],0)</f>
        <v>0.38386855862584018</v>
      </c>
      <c r="O451">
        <f>IF(orders[[#This Row],[Delivery Date]]="","",(orders[[#This Row],[Delivery Date]]-orders[[#This Row],[Date]]))</f>
        <v>5</v>
      </c>
      <c r="P451" t="str">
        <f>IF(orders[[#This Row],[delivery days]]="","Not Delivered",IF(orders[[#This Row],[delivery days]]&lt;=2,"Fast",IF(orders[[#This Row],[delivery days]]&lt;=5,"Normal","Delayed")))</f>
        <v>Normal</v>
      </c>
    </row>
    <row r="452" spans="1:16" x14ac:dyDescent="0.25">
      <c r="A452" t="s">
        <v>588</v>
      </c>
      <c r="B452" s="5">
        <v>45831</v>
      </c>
      <c r="C452" t="s">
        <v>137</v>
      </c>
      <c r="D452" t="s">
        <v>153</v>
      </c>
      <c r="E452" t="s">
        <v>34</v>
      </c>
      <c r="F452">
        <v>2</v>
      </c>
      <c r="G452" s="1">
        <v>131.91999999999999</v>
      </c>
      <c r="H452" s="1">
        <v>64</v>
      </c>
      <c r="I452" s="5">
        <v>45834</v>
      </c>
      <c r="J452" t="s">
        <v>16</v>
      </c>
      <c r="K452" t="s">
        <v>35</v>
      </c>
      <c r="L452" t="s">
        <v>25</v>
      </c>
      <c r="M452" s="1">
        <f>(orders[[#This Row],[Revenue]]-orders[[#This Row],[Cost]])</f>
        <v>67.919999999999987</v>
      </c>
      <c r="N452" s="8">
        <f>IFERROR(orders[[#This Row],[profit]]/orders[[#This Row],[Revenue]],0)</f>
        <v>0.51485748938750753</v>
      </c>
      <c r="O452">
        <f>IF(orders[[#This Row],[Delivery Date]]="","",(orders[[#This Row],[Delivery Date]]-orders[[#This Row],[Date]]))</f>
        <v>3</v>
      </c>
      <c r="P452" t="str">
        <f>IF(orders[[#This Row],[delivery days]]="","Not Delivered",IF(orders[[#This Row],[delivery days]]&lt;=2,"Fast",IF(orders[[#This Row],[delivery days]]&lt;=5,"Normal","Delayed")))</f>
        <v>Normal</v>
      </c>
    </row>
    <row r="453" spans="1:16" x14ac:dyDescent="0.25">
      <c r="A453" t="s">
        <v>589</v>
      </c>
      <c r="B453" s="5">
        <v>45831</v>
      </c>
      <c r="C453" t="s">
        <v>67</v>
      </c>
      <c r="D453" t="s">
        <v>76</v>
      </c>
      <c r="E453" t="s">
        <v>77</v>
      </c>
      <c r="F453">
        <v>3</v>
      </c>
      <c r="G453" s="1">
        <v>842.4</v>
      </c>
      <c r="H453" s="1">
        <v>504.9</v>
      </c>
      <c r="I453" s="5">
        <v>45837</v>
      </c>
      <c r="J453" t="s">
        <v>101</v>
      </c>
      <c r="K453" t="s">
        <v>35</v>
      </c>
      <c r="L453" t="s">
        <v>25</v>
      </c>
      <c r="M453" s="1">
        <f>(orders[[#This Row],[Revenue]]-orders[[#This Row],[Cost]])</f>
        <v>337.5</v>
      </c>
      <c r="N453" s="8">
        <f>IFERROR(orders[[#This Row],[profit]]/orders[[#This Row],[Revenue]],0)</f>
        <v>0.40064102564102566</v>
      </c>
      <c r="O453">
        <f>IF(orders[[#This Row],[Delivery Date]]="","",(orders[[#This Row],[Delivery Date]]-orders[[#This Row],[Date]]))</f>
        <v>6</v>
      </c>
      <c r="P453" t="str">
        <f>IF(orders[[#This Row],[delivery days]]="","Not Delivered",IF(orders[[#This Row],[delivery days]]&lt;=2,"Fast",IF(orders[[#This Row],[delivery days]]&lt;=5,"Normal","Delayed")))</f>
        <v>Delayed</v>
      </c>
    </row>
    <row r="454" spans="1:16" x14ac:dyDescent="0.25">
      <c r="A454" t="s">
        <v>590</v>
      </c>
      <c r="B454" s="5">
        <v>45832</v>
      </c>
      <c r="C454" t="s">
        <v>195</v>
      </c>
      <c r="D454" t="s">
        <v>163</v>
      </c>
      <c r="E454" t="s">
        <v>39</v>
      </c>
      <c r="F454">
        <v>4</v>
      </c>
      <c r="G454" s="1">
        <v>380</v>
      </c>
      <c r="H454" s="1">
        <v>212.16</v>
      </c>
      <c r="I454" s="5"/>
      <c r="J454" t="s">
        <v>101</v>
      </c>
      <c r="K454" t="s">
        <v>47</v>
      </c>
      <c r="L454" t="s">
        <v>42</v>
      </c>
      <c r="M454" s="1">
        <f>(orders[[#This Row],[Revenue]]-orders[[#This Row],[Cost]])</f>
        <v>167.84</v>
      </c>
      <c r="N454" s="8">
        <f>IFERROR(orders[[#This Row],[profit]]/orders[[#This Row],[Revenue]],0)</f>
        <v>0.44168421052631579</v>
      </c>
      <c r="O454" t="str">
        <f>IF(orders[[#This Row],[Delivery Date]]="","",(orders[[#This Row],[Delivery Date]]-orders[[#This Row],[Date]]))</f>
        <v/>
      </c>
      <c r="P454" t="str">
        <f>IF(orders[[#This Row],[delivery days]]="","Not Delivered",IF(orders[[#This Row],[delivery days]]&lt;=2,"Fast",IF(orders[[#This Row],[delivery days]]&lt;=5,"Normal","Delayed")))</f>
        <v>Not Delivered</v>
      </c>
    </row>
    <row r="455" spans="1:16" x14ac:dyDescent="0.25">
      <c r="A455" t="s">
        <v>591</v>
      </c>
      <c r="B455" s="5">
        <v>45832</v>
      </c>
      <c r="C455" t="s">
        <v>139</v>
      </c>
      <c r="D455" t="s">
        <v>289</v>
      </c>
      <c r="E455" t="s">
        <v>22</v>
      </c>
      <c r="F455">
        <v>2</v>
      </c>
      <c r="G455" s="1">
        <v>124</v>
      </c>
      <c r="H455" s="1">
        <v>58</v>
      </c>
      <c r="I455" s="5">
        <v>45833</v>
      </c>
      <c r="J455" t="s">
        <v>30</v>
      </c>
      <c r="K455" t="s">
        <v>17</v>
      </c>
      <c r="L455" t="s">
        <v>25</v>
      </c>
      <c r="M455" s="1">
        <f>(orders[[#This Row],[Revenue]]-orders[[#This Row],[Cost]])</f>
        <v>66</v>
      </c>
      <c r="N455" s="8">
        <f>IFERROR(orders[[#This Row],[profit]]/orders[[#This Row],[Revenue]],0)</f>
        <v>0.532258064516129</v>
      </c>
      <c r="O455">
        <f>IF(orders[[#This Row],[Delivery Date]]="","",(orders[[#This Row],[Delivery Date]]-orders[[#This Row],[Date]]))</f>
        <v>1</v>
      </c>
      <c r="P455" t="str">
        <f>IF(orders[[#This Row],[delivery days]]="","Not Delivered",IF(orders[[#This Row],[delivery days]]&lt;=2,"Fast",IF(orders[[#This Row],[delivery days]]&lt;=5,"Normal","Delayed")))</f>
        <v>Fast</v>
      </c>
    </row>
    <row r="456" spans="1:16" x14ac:dyDescent="0.25">
      <c r="A456" t="s">
        <v>592</v>
      </c>
      <c r="B456" s="5">
        <v>45832</v>
      </c>
      <c r="C456" t="s">
        <v>195</v>
      </c>
      <c r="D456" t="s">
        <v>110</v>
      </c>
      <c r="E456" t="s">
        <v>39</v>
      </c>
      <c r="F456">
        <v>1</v>
      </c>
      <c r="G456" s="1">
        <v>203.7</v>
      </c>
      <c r="H456" s="1">
        <v>125</v>
      </c>
      <c r="I456" s="5"/>
      <c r="J456" t="s">
        <v>46</v>
      </c>
      <c r="K456" t="s">
        <v>47</v>
      </c>
      <c r="L456" t="s">
        <v>42</v>
      </c>
      <c r="M456" s="1">
        <f>(orders[[#This Row],[Revenue]]-orders[[#This Row],[Cost]])</f>
        <v>78.699999999999989</v>
      </c>
      <c r="N456" s="8">
        <f>IFERROR(orders[[#This Row],[profit]]/orders[[#This Row],[Revenue]],0)</f>
        <v>0.38635247913598425</v>
      </c>
      <c r="O456" t="str">
        <f>IF(orders[[#This Row],[Delivery Date]]="","",(orders[[#This Row],[Delivery Date]]-orders[[#This Row],[Date]]))</f>
        <v/>
      </c>
      <c r="P456" t="str">
        <f>IF(orders[[#This Row],[delivery days]]="","Not Delivered",IF(orders[[#This Row],[delivery days]]&lt;=2,"Fast",IF(orders[[#This Row],[delivery days]]&lt;=5,"Normal","Delayed")))</f>
        <v>Not Delivered</v>
      </c>
    </row>
    <row r="457" spans="1:16" x14ac:dyDescent="0.25">
      <c r="A457" t="s">
        <v>593</v>
      </c>
      <c r="B457" s="5">
        <v>45832</v>
      </c>
      <c r="C457" t="s">
        <v>90</v>
      </c>
      <c r="D457" t="s">
        <v>270</v>
      </c>
      <c r="E457" t="s">
        <v>39</v>
      </c>
      <c r="F457">
        <v>2</v>
      </c>
      <c r="G457" s="1">
        <v>90</v>
      </c>
      <c r="H457" s="1">
        <v>44</v>
      </c>
      <c r="I457" s="5">
        <v>45839</v>
      </c>
      <c r="J457" t="s">
        <v>52</v>
      </c>
      <c r="K457" t="s">
        <v>24</v>
      </c>
      <c r="L457" t="s">
        <v>25</v>
      </c>
      <c r="M457" s="1">
        <f>(orders[[#This Row],[Revenue]]-orders[[#This Row],[Cost]])</f>
        <v>46</v>
      </c>
      <c r="N457" s="8">
        <f>IFERROR(orders[[#This Row],[profit]]/orders[[#This Row],[Revenue]],0)</f>
        <v>0.51111111111111107</v>
      </c>
      <c r="O457">
        <f>IF(orders[[#This Row],[Delivery Date]]="","",(orders[[#This Row],[Delivery Date]]-orders[[#This Row],[Date]]))</f>
        <v>7</v>
      </c>
      <c r="P457" t="str">
        <f>IF(orders[[#This Row],[delivery days]]="","Not Delivered",IF(orders[[#This Row],[delivery days]]&lt;=2,"Fast",IF(orders[[#This Row],[delivery days]]&lt;=5,"Normal","Delayed")))</f>
        <v>Delayed</v>
      </c>
    </row>
    <row r="458" spans="1:16" x14ac:dyDescent="0.25">
      <c r="A458" t="s">
        <v>594</v>
      </c>
      <c r="B458" s="5">
        <v>45832</v>
      </c>
      <c r="C458" t="s">
        <v>37</v>
      </c>
      <c r="D458" t="s">
        <v>14</v>
      </c>
      <c r="E458" t="s">
        <v>15</v>
      </c>
      <c r="F458">
        <v>5</v>
      </c>
      <c r="G458" s="1">
        <v>125</v>
      </c>
      <c r="H458" s="1">
        <v>45.9</v>
      </c>
      <c r="I458" s="5">
        <v>45834</v>
      </c>
      <c r="J458" t="s">
        <v>30</v>
      </c>
      <c r="K458" t="s">
        <v>35</v>
      </c>
      <c r="L458" t="s">
        <v>25</v>
      </c>
      <c r="M458" s="1">
        <f>(orders[[#This Row],[Revenue]]-orders[[#This Row],[Cost]])</f>
        <v>79.099999999999994</v>
      </c>
      <c r="N458" s="8">
        <f>IFERROR(orders[[#This Row],[profit]]/orders[[#This Row],[Revenue]],0)</f>
        <v>0.63279999999999992</v>
      </c>
      <c r="O458">
        <f>IF(orders[[#This Row],[Delivery Date]]="","",(orders[[#This Row],[Delivery Date]]-orders[[#This Row],[Date]]))</f>
        <v>2</v>
      </c>
      <c r="P458" t="str">
        <f>IF(orders[[#This Row],[delivery days]]="","Not Delivered",IF(orders[[#This Row],[delivery days]]&lt;=2,"Fast",IF(orders[[#This Row],[delivery days]]&lt;=5,"Normal","Delayed")))</f>
        <v>Fast</v>
      </c>
    </row>
    <row r="459" spans="1:16" x14ac:dyDescent="0.25">
      <c r="A459" t="s">
        <v>595</v>
      </c>
      <c r="B459" s="5">
        <v>45833</v>
      </c>
      <c r="C459" t="s">
        <v>49</v>
      </c>
      <c r="D459" t="s">
        <v>28</v>
      </c>
      <c r="E459" t="s">
        <v>29</v>
      </c>
      <c r="F459">
        <v>2</v>
      </c>
      <c r="G459" s="1">
        <v>49.44</v>
      </c>
      <c r="H459" s="1">
        <v>18</v>
      </c>
      <c r="I459" s="5">
        <v>45835</v>
      </c>
      <c r="J459" t="s">
        <v>30</v>
      </c>
      <c r="K459" t="s">
        <v>35</v>
      </c>
      <c r="L459" t="s">
        <v>25</v>
      </c>
      <c r="M459" s="1">
        <f>(orders[[#This Row],[Revenue]]-orders[[#This Row],[Cost]])</f>
        <v>31.439999999999998</v>
      </c>
      <c r="N459" s="8">
        <f>IFERROR(orders[[#This Row],[profit]]/orders[[#This Row],[Revenue]],0)</f>
        <v>0.63592233009708732</v>
      </c>
      <c r="O459">
        <f>IF(orders[[#This Row],[Delivery Date]]="","",(orders[[#This Row],[Delivery Date]]-orders[[#This Row],[Date]]))</f>
        <v>2</v>
      </c>
      <c r="P459" t="str">
        <f>IF(orders[[#This Row],[delivery days]]="","Not Delivered",IF(orders[[#This Row],[delivery days]]&lt;=2,"Fast",IF(orders[[#This Row],[delivery days]]&lt;=5,"Normal","Delayed")))</f>
        <v>Fast</v>
      </c>
    </row>
    <row r="460" spans="1:16" x14ac:dyDescent="0.25">
      <c r="A460" t="s">
        <v>596</v>
      </c>
      <c r="B460" s="5">
        <v>45834</v>
      </c>
      <c r="C460" t="s">
        <v>200</v>
      </c>
      <c r="D460" t="s">
        <v>65</v>
      </c>
      <c r="E460" t="s">
        <v>62</v>
      </c>
      <c r="F460">
        <v>3</v>
      </c>
      <c r="G460" s="1">
        <v>144</v>
      </c>
      <c r="H460" s="1">
        <v>63</v>
      </c>
      <c r="I460" s="5"/>
      <c r="J460" t="s">
        <v>30</v>
      </c>
      <c r="K460" t="s">
        <v>35</v>
      </c>
      <c r="L460" t="s">
        <v>42</v>
      </c>
      <c r="M460" s="1">
        <f>(orders[[#This Row],[Revenue]]-orders[[#This Row],[Cost]])</f>
        <v>81</v>
      </c>
      <c r="N460" s="8">
        <f>IFERROR(orders[[#This Row],[profit]]/orders[[#This Row],[Revenue]],0)</f>
        <v>0.5625</v>
      </c>
      <c r="O460" t="str">
        <f>IF(orders[[#This Row],[Delivery Date]]="","",(orders[[#This Row],[Delivery Date]]-orders[[#This Row],[Date]]))</f>
        <v/>
      </c>
      <c r="P460" t="str">
        <f>IF(orders[[#This Row],[delivery days]]="","Not Delivered",IF(orders[[#This Row],[delivery days]]&lt;=2,"Fast",IF(orders[[#This Row],[delivery days]]&lt;=5,"Normal","Delayed")))</f>
        <v>Not Delivered</v>
      </c>
    </row>
    <row r="461" spans="1:16" x14ac:dyDescent="0.25">
      <c r="A461" t="s">
        <v>597</v>
      </c>
      <c r="B461" s="5">
        <v>45834</v>
      </c>
      <c r="C461" t="s">
        <v>99</v>
      </c>
      <c r="D461" t="s">
        <v>38</v>
      </c>
      <c r="E461" t="s">
        <v>39</v>
      </c>
      <c r="F461">
        <v>2</v>
      </c>
      <c r="G461" s="1">
        <v>1649</v>
      </c>
      <c r="H461" s="1">
        <v>1195.5999999999999</v>
      </c>
      <c r="I461" s="5">
        <v>45835</v>
      </c>
      <c r="J461" t="s">
        <v>30</v>
      </c>
      <c r="K461" t="s">
        <v>17</v>
      </c>
      <c r="L461" t="s">
        <v>25</v>
      </c>
      <c r="M461" s="1">
        <f>(orders[[#This Row],[Revenue]]-orders[[#This Row],[Cost]])</f>
        <v>453.40000000000009</v>
      </c>
      <c r="N461" s="8">
        <f>IFERROR(orders[[#This Row],[profit]]/orders[[#This Row],[Revenue]],0)</f>
        <v>0.27495451788963016</v>
      </c>
      <c r="O461">
        <f>IF(orders[[#This Row],[Delivery Date]]="","",(orders[[#This Row],[Delivery Date]]-orders[[#This Row],[Date]]))</f>
        <v>1</v>
      </c>
      <c r="P461" t="str">
        <f>IF(orders[[#This Row],[delivery days]]="","Not Delivered",IF(orders[[#This Row],[delivery days]]&lt;=2,"Fast",IF(orders[[#This Row],[delivery days]]&lt;=5,"Normal","Delayed")))</f>
        <v>Fast</v>
      </c>
    </row>
    <row r="462" spans="1:16" x14ac:dyDescent="0.25">
      <c r="A462" t="s">
        <v>598</v>
      </c>
      <c r="B462" s="5">
        <v>45834</v>
      </c>
      <c r="C462" t="s">
        <v>210</v>
      </c>
      <c r="D462" t="s">
        <v>270</v>
      </c>
      <c r="E462" t="s">
        <v>39</v>
      </c>
      <c r="F462">
        <v>1</v>
      </c>
      <c r="G462" s="1">
        <v>41.4</v>
      </c>
      <c r="H462" s="1">
        <v>22</v>
      </c>
      <c r="I462" s="5">
        <v>45836</v>
      </c>
      <c r="J462" t="s">
        <v>30</v>
      </c>
      <c r="K462" t="s">
        <v>35</v>
      </c>
      <c r="L462" t="s">
        <v>25</v>
      </c>
      <c r="M462" s="1">
        <f>(orders[[#This Row],[Revenue]]-orders[[#This Row],[Cost]])</f>
        <v>19.399999999999999</v>
      </c>
      <c r="N462" s="8">
        <f>IFERROR(orders[[#This Row],[profit]]/orders[[#This Row],[Revenue]],0)</f>
        <v>0.46859903381642509</v>
      </c>
      <c r="O462">
        <f>IF(orders[[#This Row],[Delivery Date]]="","",(orders[[#This Row],[Delivery Date]]-orders[[#This Row],[Date]]))</f>
        <v>2</v>
      </c>
      <c r="P462" t="str">
        <f>IF(orders[[#This Row],[delivery days]]="","Not Delivered",IF(orders[[#This Row],[delivery days]]&lt;=2,"Fast",IF(orders[[#This Row],[delivery days]]&lt;=5,"Normal","Delayed")))</f>
        <v>Fast</v>
      </c>
    </row>
    <row r="463" spans="1:16" x14ac:dyDescent="0.25">
      <c r="A463" t="s">
        <v>599</v>
      </c>
      <c r="B463" s="5">
        <v>45835</v>
      </c>
      <c r="C463" t="s">
        <v>69</v>
      </c>
      <c r="D463" t="s">
        <v>215</v>
      </c>
      <c r="E463" t="s">
        <v>62</v>
      </c>
      <c r="F463">
        <v>1</v>
      </c>
      <c r="G463" s="1">
        <v>220</v>
      </c>
      <c r="H463" s="1">
        <v>144.84</v>
      </c>
      <c r="I463" s="5">
        <v>45838</v>
      </c>
      <c r="J463" t="s">
        <v>16</v>
      </c>
      <c r="K463" t="s">
        <v>35</v>
      </c>
      <c r="L463" t="s">
        <v>25</v>
      </c>
      <c r="M463" s="1">
        <f>(orders[[#This Row],[Revenue]]-orders[[#This Row],[Cost]])</f>
        <v>75.16</v>
      </c>
      <c r="N463" s="8">
        <f>IFERROR(orders[[#This Row],[profit]]/orders[[#This Row],[Revenue]],0)</f>
        <v>0.34163636363636363</v>
      </c>
      <c r="O463">
        <f>IF(orders[[#This Row],[Delivery Date]]="","",(orders[[#This Row],[Delivery Date]]-orders[[#This Row],[Date]]))</f>
        <v>3</v>
      </c>
      <c r="P463" t="str">
        <f>IF(orders[[#This Row],[delivery days]]="","Not Delivered",IF(orders[[#This Row],[delivery days]]&lt;=2,"Fast",IF(orders[[#This Row],[delivery days]]&lt;=5,"Normal","Delayed")))</f>
        <v>Normal</v>
      </c>
    </row>
    <row r="464" spans="1:16" x14ac:dyDescent="0.25">
      <c r="A464" t="s">
        <v>600</v>
      </c>
      <c r="B464" s="5">
        <v>45835</v>
      </c>
      <c r="C464" t="s">
        <v>124</v>
      </c>
      <c r="D464" t="s">
        <v>300</v>
      </c>
      <c r="E464" t="s">
        <v>77</v>
      </c>
      <c r="F464">
        <v>2</v>
      </c>
      <c r="G464" s="1">
        <v>780</v>
      </c>
      <c r="H464" s="1">
        <v>490</v>
      </c>
      <c r="I464" s="5">
        <v>45839</v>
      </c>
      <c r="J464" t="s">
        <v>23</v>
      </c>
      <c r="K464" t="s">
        <v>24</v>
      </c>
      <c r="L464" t="s">
        <v>25</v>
      </c>
      <c r="M464" s="1">
        <f>(orders[[#This Row],[Revenue]]-orders[[#This Row],[Cost]])</f>
        <v>290</v>
      </c>
      <c r="N464" s="8">
        <f>IFERROR(orders[[#This Row],[profit]]/orders[[#This Row],[Revenue]],0)</f>
        <v>0.37179487179487181</v>
      </c>
      <c r="O464">
        <f>IF(orders[[#This Row],[Delivery Date]]="","",(orders[[#This Row],[Delivery Date]]-orders[[#This Row],[Date]]))</f>
        <v>4</v>
      </c>
      <c r="P464" t="str">
        <f>IF(orders[[#This Row],[delivery days]]="","Not Delivered",IF(orders[[#This Row],[delivery days]]&lt;=2,"Fast",IF(orders[[#This Row],[delivery days]]&lt;=5,"Normal","Delayed")))</f>
        <v>Normal</v>
      </c>
    </row>
    <row r="465" spans="1:16" x14ac:dyDescent="0.25">
      <c r="A465" t="s">
        <v>601</v>
      </c>
      <c r="B465" s="5">
        <v>45835</v>
      </c>
      <c r="C465" t="s">
        <v>124</v>
      </c>
      <c r="D465" t="s">
        <v>58</v>
      </c>
      <c r="E465" t="s">
        <v>39</v>
      </c>
      <c r="F465">
        <v>4</v>
      </c>
      <c r="G465" s="1">
        <v>5000</v>
      </c>
      <c r="H465" s="1">
        <v>3600</v>
      </c>
      <c r="I465" s="5">
        <v>45838</v>
      </c>
      <c r="J465" t="s">
        <v>46</v>
      </c>
      <c r="K465" t="s">
        <v>47</v>
      </c>
      <c r="L465" t="s">
        <v>25</v>
      </c>
      <c r="M465" s="1">
        <f>(orders[[#This Row],[Revenue]]-orders[[#This Row],[Cost]])</f>
        <v>1400</v>
      </c>
      <c r="N465" s="8">
        <f>IFERROR(orders[[#This Row],[profit]]/orders[[#This Row],[Revenue]],0)</f>
        <v>0.28000000000000003</v>
      </c>
      <c r="O465">
        <f>IF(orders[[#This Row],[Delivery Date]]="","",(orders[[#This Row],[Delivery Date]]-orders[[#This Row],[Date]]))</f>
        <v>3</v>
      </c>
      <c r="P465" t="str">
        <f>IF(orders[[#This Row],[delivery days]]="","Not Delivered",IF(orders[[#This Row],[delivery days]]&lt;=2,"Fast",IF(orders[[#This Row],[delivery days]]&lt;=5,"Normal","Delayed")))</f>
        <v>Normal</v>
      </c>
    </row>
    <row r="466" spans="1:16" x14ac:dyDescent="0.25">
      <c r="A466" t="s">
        <v>602</v>
      </c>
      <c r="B466" s="5">
        <v>45835</v>
      </c>
      <c r="C466" t="s">
        <v>96</v>
      </c>
      <c r="D466" t="s">
        <v>159</v>
      </c>
      <c r="E466" t="s">
        <v>39</v>
      </c>
      <c r="F466">
        <v>1</v>
      </c>
      <c r="G466" s="1">
        <v>106.7</v>
      </c>
      <c r="H466" s="1">
        <v>62</v>
      </c>
      <c r="I466" s="5">
        <v>45837</v>
      </c>
      <c r="J466" t="s">
        <v>30</v>
      </c>
      <c r="K466" t="s">
        <v>17</v>
      </c>
      <c r="L466" t="s">
        <v>25</v>
      </c>
      <c r="M466" s="1">
        <f>(orders[[#This Row],[Revenue]]-orders[[#This Row],[Cost]])</f>
        <v>44.7</v>
      </c>
      <c r="N466" s="8">
        <f>IFERROR(orders[[#This Row],[profit]]/orders[[#This Row],[Revenue]],0)</f>
        <v>0.41893158388003748</v>
      </c>
      <c r="O466">
        <f>IF(orders[[#This Row],[Delivery Date]]="","",(orders[[#This Row],[Delivery Date]]-orders[[#This Row],[Date]]))</f>
        <v>2</v>
      </c>
      <c r="P466" t="str">
        <f>IF(orders[[#This Row],[delivery days]]="","Not Delivered",IF(orders[[#This Row],[delivery days]]&lt;=2,"Fast",IF(orders[[#This Row],[delivery days]]&lt;=5,"Normal","Delayed")))</f>
        <v>Fast</v>
      </c>
    </row>
    <row r="467" spans="1:16" x14ac:dyDescent="0.25">
      <c r="A467" t="s">
        <v>603</v>
      </c>
      <c r="B467" s="5">
        <v>45836</v>
      </c>
      <c r="C467" t="s">
        <v>149</v>
      </c>
      <c r="D467" t="s">
        <v>289</v>
      </c>
      <c r="E467" t="s">
        <v>22</v>
      </c>
      <c r="F467">
        <v>1</v>
      </c>
      <c r="G467" s="1">
        <v>62</v>
      </c>
      <c r="H467" s="1">
        <v>29</v>
      </c>
      <c r="I467" s="5">
        <v>45840</v>
      </c>
      <c r="J467" t="s">
        <v>16</v>
      </c>
      <c r="K467" t="s">
        <v>17</v>
      </c>
      <c r="L467" t="s">
        <v>25</v>
      </c>
      <c r="M467" s="1">
        <f>(orders[[#This Row],[Revenue]]-orders[[#This Row],[Cost]])</f>
        <v>33</v>
      </c>
      <c r="N467" s="8">
        <f>IFERROR(orders[[#This Row],[profit]]/orders[[#This Row],[Revenue]],0)</f>
        <v>0.532258064516129</v>
      </c>
      <c r="O467">
        <f>IF(orders[[#This Row],[Delivery Date]]="","",(orders[[#This Row],[Delivery Date]]-orders[[#This Row],[Date]]))</f>
        <v>4</v>
      </c>
      <c r="P467" t="str">
        <f>IF(orders[[#This Row],[delivery days]]="","Not Delivered",IF(orders[[#This Row],[delivery days]]&lt;=2,"Fast",IF(orders[[#This Row],[delivery days]]&lt;=5,"Normal","Delayed")))</f>
        <v>Normal</v>
      </c>
    </row>
    <row r="468" spans="1:16" x14ac:dyDescent="0.25">
      <c r="A468" t="s">
        <v>604</v>
      </c>
      <c r="B468" s="5">
        <v>45836</v>
      </c>
      <c r="C468" t="s">
        <v>382</v>
      </c>
      <c r="D468" t="s">
        <v>14</v>
      </c>
      <c r="E468" t="s">
        <v>15</v>
      </c>
      <c r="F468">
        <v>2</v>
      </c>
      <c r="G468" s="1">
        <v>48.5</v>
      </c>
      <c r="H468" s="1">
        <v>18</v>
      </c>
      <c r="I468" s="5">
        <v>45839</v>
      </c>
      <c r="J468" t="s">
        <v>30</v>
      </c>
      <c r="K468" t="s">
        <v>17</v>
      </c>
      <c r="L468" t="s">
        <v>25</v>
      </c>
      <c r="M468" s="1">
        <f>(orders[[#This Row],[Revenue]]-orders[[#This Row],[Cost]])</f>
        <v>30.5</v>
      </c>
      <c r="N468" s="8">
        <f>IFERROR(orders[[#This Row],[profit]]/orders[[#This Row],[Revenue]],0)</f>
        <v>0.62886597938144329</v>
      </c>
      <c r="O468">
        <f>IF(orders[[#This Row],[Delivery Date]]="","",(orders[[#This Row],[Delivery Date]]-orders[[#This Row],[Date]]))</f>
        <v>3</v>
      </c>
      <c r="P468" t="str">
        <f>IF(orders[[#This Row],[delivery days]]="","Not Delivered",IF(orders[[#This Row],[delivery days]]&lt;=2,"Fast",IF(orders[[#This Row],[delivery days]]&lt;=5,"Normal","Delayed")))</f>
        <v>Normal</v>
      </c>
    </row>
    <row r="469" spans="1:16" x14ac:dyDescent="0.25">
      <c r="A469" t="s">
        <v>605</v>
      </c>
      <c r="B469" s="5">
        <v>45836</v>
      </c>
      <c r="C469" t="s">
        <v>132</v>
      </c>
      <c r="D469" t="s">
        <v>129</v>
      </c>
      <c r="E469" t="s">
        <v>39</v>
      </c>
      <c r="F469">
        <v>1</v>
      </c>
      <c r="G469" s="1">
        <v>120</v>
      </c>
      <c r="H469" s="1">
        <v>69.36</v>
      </c>
      <c r="I469" s="5">
        <v>45837</v>
      </c>
      <c r="J469" t="s">
        <v>46</v>
      </c>
      <c r="K469" t="s">
        <v>24</v>
      </c>
      <c r="L469" t="s">
        <v>25</v>
      </c>
      <c r="M469" s="1">
        <f>(orders[[#This Row],[Revenue]]-orders[[#This Row],[Cost]])</f>
        <v>50.64</v>
      </c>
      <c r="N469" s="8">
        <f>IFERROR(orders[[#This Row],[profit]]/orders[[#This Row],[Revenue]],0)</f>
        <v>0.42199999999999999</v>
      </c>
      <c r="O469">
        <f>IF(orders[[#This Row],[Delivery Date]]="","",(orders[[#This Row],[Delivery Date]]-orders[[#This Row],[Date]]))</f>
        <v>1</v>
      </c>
      <c r="P469" t="str">
        <f>IF(orders[[#This Row],[delivery days]]="","Not Delivered",IF(orders[[#This Row],[delivery days]]&lt;=2,"Fast",IF(orders[[#This Row],[delivery days]]&lt;=5,"Normal","Delayed")))</f>
        <v>Fast</v>
      </c>
    </row>
    <row r="470" spans="1:16" x14ac:dyDescent="0.25">
      <c r="A470" t="s">
        <v>606</v>
      </c>
      <c r="B470" s="5">
        <v>45836</v>
      </c>
      <c r="C470" t="s">
        <v>171</v>
      </c>
      <c r="D470" t="s">
        <v>28</v>
      </c>
      <c r="E470" t="s">
        <v>29</v>
      </c>
      <c r="F470">
        <v>3</v>
      </c>
      <c r="G470" s="1">
        <v>72</v>
      </c>
      <c r="H470" s="1">
        <v>27</v>
      </c>
      <c r="I470" s="5">
        <v>45841</v>
      </c>
      <c r="J470" t="s">
        <v>16</v>
      </c>
      <c r="K470" t="s">
        <v>17</v>
      </c>
      <c r="L470" t="s">
        <v>25</v>
      </c>
      <c r="M470" s="1">
        <f>(orders[[#This Row],[Revenue]]-orders[[#This Row],[Cost]])</f>
        <v>45</v>
      </c>
      <c r="N470" s="8">
        <f>IFERROR(orders[[#This Row],[profit]]/orders[[#This Row],[Revenue]],0)</f>
        <v>0.625</v>
      </c>
      <c r="O470">
        <f>IF(orders[[#This Row],[Delivery Date]]="","",(orders[[#This Row],[Delivery Date]]-orders[[#This Row],[Date]]))</f>
        <v>5</v>
      </c>
      <c r="P470" t="str">
        <f>IF(orders[[#This Row],[delivery days]]="","Not Delivered",IF(orders[[#This Row],[delivery days]]&lt;=2,"Fast",IF(orders[[#This Row],[delivery days]]&lt;=5,"Normal","Delayed")))</f>
        <v>Normal</v>
      </c>
    </row>
    <row r="471" spans="1:16" x14ac:dyDescent="0.25">
      <c r="A471" t="s">
        <v>607</v>
      </c>
      <c r="B471" s="5">
        <v>45837</v>
      </c>
      <c r="C471" t="s">
        <v>282</v>
      </c>
      <c r="D471" t="s">
        <v>80</v>
      </c>
      <c r="E471" t="s">
        <v>77</v>
      </c>
      <c r="F471">
        <v>1</v>
      </c>
      <c r="G471" s="1">
        <v>72.75</v>
      </c>
      <c r="H471" s="1">
        <v>38</v>
      </c>
      <c r="I471" s="5">
        <v>45838</v>
      </c>
      <c r="J471" t="s">
        <v>30</v>
      </c>
      <c r="K471" t="s">
        <v>35</v>
      </c>
      <c r="L471" t="s">
        <v>25</v>
      </c>
      <c r="M471" s="1">
        <f>(orders[[#This Row],[Revenue]]-orders[[#This Row],[Cost]])</f>
        <v>34.75</v>
      </c>
      <c r="N471" s="8">
        <f>IFERROR(orders[[#This Row],[profit]]/orders[[#This Row],[Revenue]],0)</f>
        <v>0.47766323024054985</v>
      </c>
      <c r="O471">
        <f>IF(orders[[#This Row],[Delivery Date]]="","",(orders[[#This Row],[Delivery Date]]-orders[[#This Row],[Date]]))</f>
        <v>1</v>
      </c>
      <c r="P471" t="str">
        <f>IF(orders[[#This Row],[delivery days]]="","Not Delivered",IF(orders[[#This Row],[delivery days]]&lt;=2,"Fast",IF(orders[[#This Row],[delivery days]]&lt;=5,"Normal","Delayed")))</f>
        <v>Fast</v>
      </c>
    </row>
    <row r="472" spans="1:16" x14ac:dyDescent="0.25">
      <c r="A472" t="s">
        <v>608</v>
      </c>
      <c r="B472" s="5">
        <v>45837</v>
      </c>
      <c r="C472" t="s">
        <v>105</v>
      </c>
      <c r="D472" t="s">
        <v>58</v>
      </c>
      <c r="E472" t="s">
        <v>39</v>
      </c>
      <c r="F472">
        <v>2</v>
      </c>
      <c r="G472" s="1">
        <v>2575</v>
      </c>
      <c r="H472" s="1">
        <v>1800</v>
      </c>
      <c r="I472" s="5">
        <v>45839</v>
      </c>
      <c r="J472" t="s">
        <v>30</v>
      </c>
      <c r="K472" t="s">
        <v>17</v>
      </c>
      <c r="L472" t="s">
        <v>25</v>
      </c>
      <c r="M472" s="1">
        <f>(orders[[#This Row],[Revenue]]-orders[[#This Row],[Cost]])</f>
        <v>775</v>
      </c>
      <c r="N472" s="8">
        <f>IFERROR(orders[[#This Row],[profit]]/orders[[#This Row],[Revenue]],0)</f>
        <v>0.30097087378640774</v>
      </c>
      <c r="O472">
        <f>IF(orders[[#This Row],[Delivery Date]]="","",(orders[[#This Row],[Delivery Date]]-orders[[#This Row],[Date]]))</f>
        <v>2</v>
      </c>
      <c r="P472" t="str">
        <f>IF(orders[[#This Row],[delivery days]]="","Not Delivered",IF(orders[[#This Row],[delivery days]]&lt;=2,"Fast",IF(orders[[#This Row],[delivery days]]&lt;=5,"Normal","Delayed")))</f>
        <v>Fast</v>
      </c>
    </row>
    <row r="473" spans="1:16" x14ac:dyDescent="0.25">
      <c r="A473" t="s">
        <v>609</v>
      </c>
      <c r="B473" s="5">
        <v>45837</v>
      </c>
      <c r="C473" t="s">
        <v>217</v>
      </c>
      <c r="D473" t="s">
        <v>14</v>
      </c>
      <c r="E473" t="s">
        <v>15</v>
      </c>
      <c r="F473">
        <v>2</v>
      </c>
      <c r="G473" s="1">
        <v>50</v>
      </c>
      <c r="H473" s="1">
        <v>18</v>
      </c>
      <c r="I473" s="5">
        <v>45840</v>
      </c>
      <c r="J473" t="s">
        <v>23</v>
      </c>
      <c r="K473" t="s">
        <v>17</v>
      </c>
      <c r="L473" t="s">
        <v>25</v>
      </c>
      <c r="M473" s="1">
        <f>(orders[[#This Row],[Revenue]]-orders[[#This Row],[Cost]])</f>
        <v>32</v>
      </c>
      <c r="N473" s="8">
        <f>IFERROR(orders[[#This Row],[profit]]/orders[[#This Row],[Revenue]],0)</f>
        <v>0.64</v>
      </c>
      <c r="O473">
        <f>IF(orders[[#This Row],[Delivery Date]]="","",(orders[[#This Row],[Delivery Date]]-orders[[#This Row],[Date]]))</f>
        <v>3</v>
      </c>
      <c r="P473" t="str">
        <f>IF(orders[[#This Row],[delivery days]]="","Not Delivered",IF(orders[[#This Row],[delivery days]]&lt;=2,"Fast",IF(orders[[#This Row],[delivery days]]&lt;=5,"Normal","Delayed")))</f>
        <v>Normal</v>
      </c>
    </row>
    <row r="474" spans="1:16" x14ac:dyDescent="0.25">
      <c r="A474" t="s">
        <v>610</v>
      </c>
      <c r="B474" s="5">
        <v>45838</v>
      </c>
      <c r="C474" t="s">
        <v>99</v>
      </c>
      <c r="D474" t="s">
        <v>45</v>
      </c>
      <c r="E474" t="s">
        <v>34</v>
      </c>
      <c r="F474">
        <v>2</v>
      </c>
      <c r="G474" s="1">
        <v>139.68</v>
      </c>
      <c r="H474" s="1">
        <v>62</v>
      </c>
      <c r="I474" s="5">
        <v>45840</v>
      </c>
      <c r="J474" t="s">
        <v>30</v>
      </c>
      <c r="K474" t="s">
        <v>17</v>
      </c>
      <c r="L474" t="s">
        <v>25</v>
      </c>
      <c r="M474" s="1">
        <f>(orders[[#This Row],[Revenue]]-orders[[#This Row],[Cost]])</f>
        <v>77.680000000000007</v>
      </c>
      <c r="N474" s="8">
        <f>IFERROR(orders[[#This Row],[profit]]/orders[[#This Row],[Revenue]],0)</f>
        <v>0.55612829324169533</v>
      </c>
      <c r="O474">
        <f>IF(orders[[#This Row],[Delivery Date]]="","",(orders[[#This Row],[Delivery Date]]-orders[[#This Row],[Date]]))</f>
        <v>2</v>
      </c>
      <c r="P474" t="str">
        <f>IF(orders[[#This Row],[delivery days]]="","Not Delivered",IF(orders[[#This Row],[delivery days]]&lt;=2,"Fast",IF(orders[[#This Row],[delivery days]]&lt;=5,"Normal","Delayed")))</f>
        <v>Fast</v>
      </c>
    </row>
    <row r="475" spans="1:16" x14ac:dyDescent="0.25">
      <c r="A475" t="s">
        <v>611</v>
      </c>
      <c r="B475" s="5">
        <v>45838</v>
      </c>
      <c r="C475" t="s">
        <v>171</v>
      </c>
      <c r="D475" t="s">
        <v>51</v>
      </c>
      <c r="E475" t="s">
        <v>34</v>
      </c>
      <c r="F475">
        <v>2</v>
      </c>
      <c r="G475" s="1">
        <v>175.1</v>
      </c>
      <c r="H475" s="1">
        <v>84</v>
      </c>
      <c r="I475" s="5">
        <v>45840</v>
      </c>
      <c r="J475" t="s">
        <v>16</v>
      </c>
      <c r="K475" t="s">
        <v>35</v>
      </c>
      <c r="L475" t="s">
        <v>25</v>
      </c>
      <c r="M475" s="1">
        <f>(orders[[#This Row],[Revenue]]-orders[[#This Row],[Cost]])</f>
        <v>91.1</v>
      </c>
      <c r="N475" s="8">
        <f>IFERROR(orders[[#This Row],[profit]]/orders[[#This Row],[Revenue]],0)</f>
        <v>0.52027412906910331</v>
      </c>
      <c r="O475">
        <f>IF(orders[[#This Row],[Delivery Date]]="","",(orders[[#This Row],[Delivery Date]]-orders[[#This Row],[Date]]))</f>
        <v>2</v>
      </c>
      <c r="P475" t="str">
        <f>IF(orders[[#This Row],[delivery days]]="","Not Delivered",IF(orders[[#This Row],[delivery days]]&lt;=2,"Fast",IF(orders[[#This Row],[delivery days]]&lt;=5,"Normal","Delayed")))</f>
        <v>Fast</v>
      </c>
    </row>
    <row r="476" spans="1:16" x14ac:dyDescent="0.25">
      <c r="A476" t="s">
        <v>612</v>
      </c>
      <c r="B476" s="5">
        <v>45838</v>
      </c>
      <c r="C476" t="s">
        <v>124</v>
      </c>
      <c r="D476" t="s">
        <v>28</v>
      </c>
      <c r="E476" t="s">
        <v>29</v>
      </c>
      <c r="F476">
        <v>2</v>
      </c>
      <c r="G476" s="1">
        <v>49.44</v>
      </c>
      <c r="H476" s="1">
        <v>17.64</v>
      </c>
      <c r="I476" s="5"/>
      <c r="J476" t="s">
        <v>52</v>
      </c>
      <c r="K476" t="s">
        <v>24</v>
      </c>
      <c r="L476" t="s">
        <v>42</v>
      </c>
      <c r="M476" s="1">
        <f>(orders[[#This Row],[Revenue]]-orders[[#This Row],[Cost]])</f>
        <v>31.799999999999997</v>
      </c>
      <c r="N476" s="8">
        <f>IFERROR(orders[[#This Row],[profit]]/orders[[#This Row],[Revenue]],0)</f>
        <v>0.64320388349514557</v>
      </c>
      <c r="O476" t="str">
        <f>IF(orders[[#This Row],[Delivery Date]]="","",(orders[[#This Row],[Delivery Date]]-orders[[#This Row],[Date]]))</f>
        <v/>
      </c>
      <c r="P476" t="str">
        <f>IF(orders[[#This Row],[delivery days]]="","Not Delivered",IF(orders[[#This Row],[delivery days]]&lt;=2,"Fast",IF(orders[[#This Row],[delivery days]]&lt;=5,"Normal","Delayed")))</f>
        <v>Not Delivered</v>
      </c>
    </row>
    <row r="477" spans="1:16" x14ac:dyDescent="0.25">
      <c r="A477" t="s">
        <v>613</v>
      </c>
      <c r="B477" s="5">
        <v>45839</v>
      </c>
      <c r="C477" t="s">
        <v>79</v>
      </c>
      <c r="D477" t="s">
        <v>159</v>
      </c>
      <c r="E477" t="s">
        <v>39</v>
      </c>
      <c r="F477">
        <v>1</v>
      </c>
      <c r="G477" s="1">
        <v>110</v>
      </c>
      <c r="H477" s="1">
        <v>62</v>
      </c>
      <c r="I477" s="5">
        <v>45840</v>
      </c>
      <c r="J477" t="s">
        <v>16</v>
      </c>
      <c r="K477" t="s">
        <v>35</v>
      </c>
      <c r="L477" t="s">
        <v>25</v>
      </c>
      <c r="M477" s="1">
        <f>(orders[[#This Row],[Revenue]]-orders[[#This Row],[Cost]])</f>
        <v>48</v>
      </c>
      <c r="N477" s="8">
        <f>IFERROR(orders[[#This Row],[profit]]/orders[[#This Row],[Revenue]],0)</f>
        <v>0.43636363636363634</v>
      </c>
      <c r="O477">
        <f>IF(orders[[#This Row],[Delivery Date]]="","",(orders[[#This Row],[Delivery Date]]-orders[[#This Row],[Date]]))</f>
        <v>1</v>
      </c>
      <c r="P477" t="str">
        <f>IF(orders[[#This Row],[delivery days]]="","Not Delivered",IF(orders[[#This Row],[delivery days]]&lt;=2,"Fast",IF(orders[[#This Row],[delivery days]]&lt;=5,"Normal","Delayed")))</f>
        <v>Fast</v>
      </c>
    </row>
    <row r="478" spans="1:16" x14ac:dyDescent="0.25">
      <c r="A478" t="s">
        <v>614</v>
      </c>
      <c r="B478" s="5">
        <v>45840</v>
      </c>
      <c r="C478" t="s">
        <v>282</v>
      </c>
      <c r="D478" t="s">
        <v>61</v>
      </c>
      <c r="E478" t="s">
        <v>62</v>
      </c>
      <c r="F478">
        <v>3</v>
      </c>
      <c r="G478" s="1">
        <v>96</v>
      </c>
      <c r="H478" s="1">
        <v>42.84</v>
      </c>
      <c r="I478" s="5">
        <v>45847</v>
      </c>
      <c r="J478" t="s">
        <v>52</v>
      </c>
      <c r="K478" t="s">
        <v>24</v>
      </c>
      <c r="L478" t="s">
        <v>25</v>
      </c>
      <c r="M478" s="1">
        <f>(orders[[#This Row],[Revenue]]-orders[[#This Row],[Cost]])</f>
        <v>53.16</v>
      </c>
      <c r="N478" s="8">
        <f>IFERROR(orders[[#This Row],[profit]]/orders[[#This Row],[Revenue]],0)</f>
        <v>0.55374999999999996</v>
      </c>
      <c r="O478">
        <f>IF(orders[[#This Row],[Delivery Date]]="","",(orders[[#This Row],[Delivery Date]]-orders[[#This Row],[Date]]))</f>
        <v>7</v>
      </c>
      <c r="P478" t="str">
        <f>IF(orders[[#This Row],[delivery days]]="","Not Delivered",IF(orders[[#This Row],[delivery days]]&lt;=2,"Fast",IF(orders[[#This Row],[delivery days]]&lt;=5,"Normal","Delayed")))</f>
        <v>Delayed</v>
      </c>
    </row>
    <row r="479" spans="1:16" x14ac:dyDescent="0.25">
      <c r="A479" t="s">
        <v>615</v>
      </c>
      <c r="B479" s="5">
        <v>45840</v>
      </c>
      <c r="C479" t="s">
        <v>69</v>
      </c>
      <c r="D479" t="s">
        <v>125</v>
      </c>
      <c r="E479" t="s">
        <v>62</v>
      </c>
      <c r="F479">
        <v>1</v>
      </c>
      <c r="G479" s="1">
        <v>149.35</v>
      </c>
      <c r="H479" s="1">
        <v>80.36</v>
      </c>
      <c r="I479" s="5">
        <v>45841</v>
      </c>
      <c r="J479" t="s">
        <v>16</v>
      </c>
      <c r="K479" t="s">
        <v>35</v>
      </c>
      <c r="L479" t="s">
        <v>25</v>
      </c>
      <c r="M479" s="1">
        <f>(orders[[#This Row],[Revenue]]-orders[[#This Row],[Cost]])</f>
        <v>68.989999999999995</v>
      </c>
      <c r="N479" s="8">
        <f>IFERROR(orders[[#This Row],[profit]]/orders[[#This Row],[Revenue]],0)</f>
        <v>0.46193505189152995</v>
      </c>
      <c r="O479">
        <f>IF(orders[[#This Row],[Delivery Date]]="","",(orders[[#This Row],[Delivery Date]]-orders[[#This Row],[Date]]))</f>
        <v>1</v>
      </c>
      <c r="P479" t="str">
        <f>IF(orders[[#This Row],[delivery days]]="","Not Delivered",IF(orders[[#This Row],[delivery days]]&lt;=2,"Fast",IF(orders[[#This Row],[delivery days]]&lt;=5,"Normal","Delayed")))</f>
        <v>Fast</v>
      </c>
    </row>
    <row r="480" spans="1:16" x14ac:dyDescent="0.25">
      <c r="A480" t="s">
        <v>616</v>
      </c>
      <c r="B480" s="5">
        <v>45840</v>
      </c>
      <c r="C480" t="s">
        <v>139</v>
      </c>
      <c r="D480" t="s">
        <v>65</v>
      </c>
      <c r="E480" t="s">
        <v>62</v>
      </c>
      <c r="F480">
        <v>1</v>
      </c>
      <c r="G480" s="1">
        <v>51.84</v>
      </c>
      <c r="H480" s="1">
        <v>21</v>
      </c>
      <c r="I480" s="5">
        <v>45843</v>
      </c>
      <c r="J480" t="s">
        <v>23</v>
      </c>
      <c r="K480" t="s">
        <v>24</v>
      </c>
      <c r="L480" t="s">
        <v>25</v>
      </c>
      <c r="M480" s="1">
        <f>(orders[[#This Row],[Revenue]]-orders[[#This Row],[Cost]])</f>
        <v>30.840000000000003</v>
      </c>
      <c r="N480" s="8">
        <f>IFERROR(orders[[#This Row],[profit]]/orders[[#This Row],[Revenue]],0)</f>
        <v>0.59490740740740744</v>
      </c>
      <c r="O480">
        <f>IF(orders[[#This Row],[Delivery Date]]="","",(orders[[#This Row],[Delivery Date]]-orders[[#This Row],[Date]]))</f>
        <v>3</v>
      </c>
      <c r="P480" t="str">
        <f>IF(orders[[#This Row],[delivery days]]="","Not Delivered",IF(orders[[#This Row],[delivery days]]&lt;=2,"Fast",IF(orders[[#This Row],[delivery days]]&lt;=5,"Normal","Delayed")))</f>
        <v>Normal</v>
      </c>
    </row>
    <row r="481" spans="1:16" x14ac:dyDescent="0.25">
      <c r="A481" t="s">
        <v>617</v>
      </c>
      <c r="B481" s="5">
        <v>45841</v>
      </c>
      <c r="C481" t="s">
        <v>181</v>
      </c>
      <c r="D481" t="s">
        <v>28</v>
      </c>
      <c r="E481" t="s">
        <v>29</v>
      </c>
      <c r="F481">
        <v>1</v>
      </c>
      <c r="G481" s="1">
        <v>24.72</v>
      </c>
      <c r="H481" s="1">
        <v>9</v>
      </c>
      <c r="I481" s="5">
        <v>45845</v>
      </c>
      <c r="J481" t="s">
        <v>46</v>
      </c>
      <c r="K481" t="s">
        <v>24</v>
      </c>
      <c r="L481" t="s">
        <v>25</v>
      </c>
      <c r="M481" s="1">
        <f>(orders[[#This Row],[Revenue]]-orders[[#This Row],[Cost]])</f>
        <v>15.719999999999999</v>
      </c>
      <c r="N481" s="8">
        <f>IFERROR(orders[[#This Row],[profit]]/orders[[#This Row],[Revenue]],0)</f>
        <v>0.63592233009708732</v>
      </c>
      <c r="O481">
        <f>IF(orders[[#This Row],[Delivery Date]]="","",(orders[[#This Row],[Delivery Date]]-orders[[#This Row],[Date]]))</f>
        <v>4</v>
      </c>
      <c r="P481" t="str">
        <f>IF(orders[[#This Row],[delivery days]]="","Not Delivered",IF(orders[[#This Row],[delivery days]]&lt;=2,"Fast",IF(orders[[#This Row],[delivery days]]&lt;=5,"Normal","Delayed")))</f>
        <v>Normal</v>
      </c>
    </row>
    <row r="482" spans="1:16" x14ac:dyDescent="0.25">
      <c r="A482" t="s">
        <v>618</v>
      </c>
      <c r="B482" s="5">
        <v>45841</v>
      </c>
      <c r="C482" t="s">
        <v>69</v>
      </c>
      <c r="D482" t="s">
        <v>76</v>
      </c>
      <c r="E482" t="s">
        <v>77</v>
      </c>
      <c r="F482">
        <v>1</v>
      </c>
      <c r="G482" s="1">
        <v>267.8</v>
      </c>
      <c r="H482" s="1">
        <v>161.69999999999999</v>
      </c>
      <c r="I482" s="5">
        <v>45844</v>
      </c>
      <c r="J482" t="s">
        <v>16</v>
      </c>
      <c r="K482" t="s">
        <v>35</v>
      </c>
      <c r="L482" t="s">
        <v>25</v>
      </c>
      <c r="M482" s="1">
        <f>(orders[[#This Row],[Revenue]]-orders[[#This Row],[Cost]])</f>
        <v>106.10000000000002</v>
      </c>
      <c r="N482" s="8">
        <f>IFERROR(orders[[#This Row],[profit]]/orders[[#This Row],[Revenue]],0)</f>
        <v>0.39619118745332343</v>
      </c>
      <c r="O482">
        <f>IF(orders[[#This Row],[Delivery Date]]="","",(orders[[#This Row],[Delivery Date]]-orders[[#This Row],[Date]]))</f>
        <v>3</v>
      </c>
      <c r="P482" t="str">
        <f>IF(orders[[#This Row],[delivery days]]="","Not Delivered",IF(orders[[#This Row],[delivery days]]&lt;=2,"Fast",IF(orders[[#This Row],[delivery days]]&lt;=5,"Normal","Delayed")))</f>
        <v>Normal</v>
      </c>
    </row>
    <row r="483" spans="1:16" x14ac:dyDescent="0.25">
      <c r="A483" t="s">
        <v>619</v>
      </c>
      <c r="B483" s="5">
        <v>45841</v>
      </c>
      <c r="C483" t="s">
        <v>217</v>
      </c>
      <c r="D483" t="s">
        <v>219</v>
      </c>
      <c r="E483" t="s">
        <v>34</v>
      </c>
      <c r="F483">
        <v>4</v>
      </c>
      <c r="G483" s="1">
        <v>120.96</v>
      </c>
      <c r="H483" s="1">
        <v>44</v>
      </c>
      <c r="I483" s="5">
        <v>45844</v>
      </c>
      <c r="J483" t="s">
        <v>16</v>
      </c>
      <c r="K483" t="s">
        <v>17</v>
      </c>
      <c r="L483" t="s">
        <v>18</v>
      </c>
      <c r="M483" s="1">
        <f>(orders[[#This Row],[Revenue]]-orders[[#This Row],[Cost]])</f>
        <v>76.959999999999994</v>
      </c>
      <c r="N483" s="8">
        <f>IFERROR(orders[[#This Row],[profit]]/orders[[#This Row],[Revenue]],0)</f>
        <v>0.63624338624338628</v>
      </c>
      <c r="O483">
        <f>IF(orders[[#This Row],[Delivery Date]]="","",(orders[[#This Row],[Delivery Date]]-orders[[#This Row],[Date]]))</f>
        <v>3</v>
      </c>
      <c r="P483" t="str">
        <f>IF(orders[[#This Row],[delivery days]]="","Not Delivered",IF(orders[[#This Row],[delivery days]]&lt;=2,"Fast",IF(orders[[#This Row],[delivery days]]&lt;=5,"Normal","Delayed")))</f>
        <v>Normal</v>
      </c>
    </row>
    <row r="484" spans="1:16" x14ac:dyDescent="0.25">
      <c r="A484" t="s">
        <v>620</v>
      </c>
      <c r="B484" s="5">
        <v>45841</v>
      </c>
      <c r="C484" t="s">
        <v>20</v>
      </c>
      <c r="D484" t="s">
        <v>146</v>
      </c>
      <c r="E484" t="s">
        <v>22</v>
      </c>
      <c r="F484">
        <v>1</v>
      </c>
      <c r="G484" s="1">
        <v>88</v>
      </c>
      <c r="H484" s="1">
        <v>44.1</v>
      </c>
      <c r="I484" s="5">
        <v>45842</v>
      </c>
      <c r="J484" t="s">
        <v>16</v>
      </c>
      <c r="K484" t="s">
        <v>35</v>
      </c>
      <c r="L484" t="s">
        <v>25</v>
      </c>
      <c r="M484" s="1">
        <f>(orders[[#This Row],[Revenue]]-orders[[#This Row],[Cost]])</f>
        <v>43.9</v>
      </c>
      <c r="N484" s="8">
        <f>IFERROR(orders[[#This Row],[profit]]/orders[[#This Row],[Revenue]],0)</f>
        <v>0.49886363636363634</v>
      </c>
      <c r="O484">
        <f>IF(orders[[#This Row],[Delivery Date]]="","",(orders[[#This Row],[Delivery Date]]-orders[[#This Row],[Date]]))</f>
        <v>1</v>
      </c>
      <c r="P484" t="str">
        <f>IF(orders[[#This Row],[delivery days]]="","Not Delivered",IF(orders[[#This Row],[delivery days]]&lt;=2,"Fast",IF(orders[[#This Row],[delivery days]]&lt;=5,"Normal","Delayed")))</f>
        <v>Fast</v>
      </c>
    </row>
    <row r="485" spans="1:16" x14ac:dyDescent="0.25">
      <c r="A485" t="s">
        <v>621</v>
      </c>
      <c r="B485" s="5">
        <v>45841</v>
      </c>
      <c r="C485" t="s">
        <v>174</v>
      </c>
      <c r="D485" t="s">
        <v>219</v>
      </c>
      <c r="E485" t="s">
        <v>34</v>
      </c>
      <c r="F485">
        <v>3</v>
      </c>
      <c r="G485" s="1">
        <v>84</v>
      </c>
      <c r="H485" s="1">
        <v>33</v>
      </c>
      <c r="I485" s="5">
        <v>45844</v>
      </c>
      <c r="J485" t="s">
        <v>46</v>
      </c>
      <c r="K485" t="s">
        <v>47</v>
      </c>
      <c r="L485" t="s">
        <v>25</v>
      </c>
      <c r="M485" s="1">
        <f>(orders[[#This Row],[Revenue]]-orders[[#This Row],[Cost]])</f>
        <v>51</v>
      </c>
      <c r="N485" s="8">
        <f>IFERROR(orders[[#This Row],[profit]]/orders[[#This Row],[Revenue]],0)</f>
        <v>0.6071428571428571</v>
      </c>
      <c r="O485">
        <f>IF(orders[[#This Row],[Delivery Date]]="","",(orders[[#This Row],[Delivery Date]]-orders[[#This Row],[Date]]))</f>
        <v>3</v>
      </c>
      <c r="P485" t="str">
        <f>IF(orders[[#This Row],[delivery days]]="","Not Delivered",IF(orders[[#This Row],[delivery days]]&lt;=2,"Fast",IF(orders[[#This Row],[delivery days]]&lt;=5,"Normal","Delayed")))</f>
        <v>Normal</v>
      </c>
    </row>
    <row r="486" spans="1:16" x14ac:dyDescent="0.25">
      <c r="A486" t="s">
        <v>622</v>
      </c>
      <c r="B486" s="5">
        <v>45841</v>
      </c>
      <c r="C486" t="s">
        <v>184</v>
      </c>
      <c r="D486" t="s">
        <v>119</v>
      </c>
      <c r="E486" t="s">
        <v>39</v>
      </c>
      <c r="F486">
        <v>3</v>
      </c>
      <c r="G486" s="1">
        <v>165</v>
      </c>
      <c r="H486" s="1">
        <v>84</v>
      </c>
      <c r="I486" s="5">
        <v>45843</v>
      </c>
      <c r="J486" t="s">
        <v>30</v>
      </c>
      <c r="K486" t="s">
        <v>35</v>
      </c>
      <c r="L486" t="s">
        <v>25</v>
      </c>
      <c r="M486" s="1">
        <f>(orders[[#This Row],[Revenue]]-orders[[#This Row],[Cost]])</f>
        <v>81</v>
      </c>
      <c r="N486" s="8">
        <f>IFERROR(orders[[#This Row],[profit]]/orders[[#This Row],[Revenue]],0)</f>
        <v>0.49090909090909091</v>
      </c>
      <c r="O486">
        <f>IF(orders[[#This Row],[Delivery Date]]="","",(orders[[#This Row],[Delivery Date]]-orders[[#This Row],[Date]]))</f>
        <v>2</v>
      </c>
      <c r="P486" t="str">
        <f>IF(orders[[#This Row],[delivery days]]="","Not Delivered",IF(orders[[#This Row],[delivery days]]&lt;=2,"Fast",IF(orders[[#This Row],[delivery days]]&lt;=5,"Normal","Delayed")))</f>
        <v>Fast</v>
      </c>
    </row>
    <row r="487" spans="1:16" x14ac:dyDescent="0.25">
      <c r="A487" t="s">
        <v>623</v>
      </c>
      <c r="B487" s="5">
        <v>45842</v>
      </c>
      <c r="C487" t="s">
        <v>181</v>
      </c>
      <c r="D487" t="s">
        <v>80</v>
      </c>
      <c r="E487" t="s">
        <v>77</v>
      </c>
      <c r="F487">
        <v>3</v>
      </c>
      <c r="G487" s="1">
        <v>225</v>
      </c>
      <c r="H487" s="1">
        <v>114</v>
      </c>
      <c r="I487" s="5">
        <v>45847</v>
      </c>
      <c r="J487" t="s">
        <v>23</v>
      </c>
      <c r="K487" t="s">
        <v>24</v>
      </c>
      <c r="L487" t="s">
        <v>25</v>
      </c>
      <c r="M487" s="1">
        <f>(orders[[#This Row],[Revenue]]-orders[[#This Row],[Cost]])</f>
        <v>111</v>
      </c>
      <c r="N487" s="8">
        <f>IFERROR(orders[[#This Row],[profit]]/orders[[#This Row],[Revenue]],0)</f>
        <v>0.49333333333333335</v>
      </c>
      <c r="O487">
        <f>IF(orders[[#This Row],[Delivery Date]]="","",(orders[[#This Row],[Delivery Date]]-orders[[#This Row],[Date]]))</f>
        <v>5</v>
      </c>
      <c r="P487" t="str">
        <f>IF(orders[[#This Row],[delivery days]]="","Not Delivered",IF(orders[[#This Row],[delivery days]]&lt;=2,"Fast",IF(orders[[#This Row],[delivery days]]&lt;=5,"Normal","Delayed")))</f>
        <v>Normal</v>
      </c>
    </row>
    <row r="488" spans="1:16" x14ac:dyDescent="0.25">
      <c r="A488" t="s">
        <v>624</v>
      </c>
      <c r="B488" s="5">
        <v>45842</v>
      </c>
      <c r="C488" t="s">
        <v>325</v>
      </c>
      <c r="D488" t="s">
        <v>135</v>
      </c>
      <c r="E488" t="s">
        <v>62</v>
      </c>
      <c r="F488">
        <v>2</v>
      </c>
      <c r="G488" s="1">
        <v>248.4</v>
      </c>
      <c r="H488" s="1">
        <v>126</v>
      </c>
      <c r="I488" s="5">
        <v>45843</v>
      </c>
      <c r="J488" t="s">
        <v>30</v>
      </c>
      <c r="K488" t="s">
        <v>35</v>
      </c>
      <c r="L488" t="s">
        <v>25</v>
      </c>
      <c r="M488" s="1">
        <f>(orders[[#This Row],[Revenue]]-orders[[#This Row],[Cost]])</f>
        <v>122.4</v>
      </c>
      <c r="N488" s="8">
        <f>IFERROR(orders[[#This Row],[profit]]/orders[[#This Row],[Revenue]],0)</f>
        <v>0.49275362318840582</v>
      </c>
      <c r="O488">
        <f>IF(orders[[#This Row],[Delivery Date]]="","",(orders[[#This Row],[Delivery Date]]-orders[[#This Row],[Date]]))</f>
        <v>1</v>
      </c>
      <c r="P488" t="str">
        <f>IF(orders[[#This Row],[delivery days]]="","Not Delivered",IF(orders[[#This Row],[delivery days]]&lt;=2,"Fast",IF(orders[[#This Row],[delivery days]]&lt;=5,"Normal","Delayed")))</f>
        <v>Fast</v>
      </c>
    </row>
    <row r="489" spans="1:16" x14ac:dyDescent="0.25">
      <c r="A489" t="s">
        <v>625</v>
      </c>
      <c r="B489" s="5">
        <v>45842</v>
      </c>
      <c r="C489" t="s">
        <v>149</v>
      </c>
      <c r="D489" t="s">
        <v>125</v>
      </c>
      <c r="E489" t="s">
        <v>62</v>
      </c>
      <c r="F489">
        <v>1</v>
      </c>
      <c r="G489" s="1">
        <v>149.35</v>
      </c>
      <c r="H489" s="1">
        <v>80.36</v>
      </c>
      <c r="I489" s="5">
        <v>45844</v>
      </c>
      <c r="J489" t="s">
        <v>30</v>
      </c>
      <c r="K489" t="s">
        <v>35</v>
      </c>
      <c r="L489" t="s">
        <v>25</v>
      </c>
      <c r="M489" s="1">
        <f>(orders[[#This Row],[Revenue]]-orders[[#This Row],[Cost]])</f>
        <v>68.989999999999995</v>
      </c>
      <c r="N489" s="8">
        <f>IFERROR(orders[[#This Row],[profit]]/orders[[#This Row],[Revenue]],0)</f>
        <v>0.46193505189152995</v>
      </c>
      <c r="O489">
        <f>IF(orders[[#This Row],[Delivery Date]]="","",(orders[[#This Row],[Delivery Date]]-orders[[#This Row],[Date]]))</f>
        <v>2</v>
      </c>
      <c r="P489" t="str">
        <f>IF(orders[[#This Row],[delivery days]]="","Not Delivered",IF(orders[[#This Row],[delivery days]]&lt;=2,"Fast",IF(orders[[#This Row],[delivery days]]&lt;=5,"Normal","Delayed")))</f>
        <v>Fast</v>
      </c>
    </row>
    <row r="490" spans="1:16" x14ac:dyDescent="0.25">
      <c r="A490" t="s">
        <v>626</v>
      </c>
      <c r="B490" s="5">
        <v>45842</v>
      </c>
      <c r="C490" t="s">
        <v>107</v>
      </c>
      <c r="D490" t="s">
        <v>97</v>
      </c>
      <c r="E490" t="s">
        <v>39</v>
      </c>
      <c r="F490">
        <v>4</v>
      </c>
      <c r="G490" s="1">
        <v>1606.8</v>
      </c>
      <c r="H490" s="1">
        <v>1040</v>
      </c>
      <c r="I490" s="5">
        <v>45844</v>
      </c>
      <c r="J490" t="s">
        <v>30</v>
      </c>
      <c r="K490" t="s">
        <v>17</v>
      </c>
      <c r="L490" t="s">
        <v>25</v>
      </c>
      <c r="M490" s="1">
        <f>(orders[[#This Row],[Revenue]]-orders[[#This Row],[Cost]])</f>
        <v>566.79999999999995</v>
      </c>
      <c r="N490" s="8">
        <f>IFERROR(orders[[#This Row],[profit]]/orders[[#This Row],[Revenue]],0)</f>
        <v>0.35275080906148865</v>
      </c>
      <c r="O490">
        <f>IF(orders[[#This Row],[Delivery Date]]="","",(orders[[#This Row],[Delivery Date]]-orders[[#This Row],[Date]]))</f>
        <v>2</v>
      </c>
      <c r="P490" t="str">
        <f>IF(orders[[#This Row],[delivery days]]="","Not Delivered",IF(orders[[#This Row],[delivery days]]&lt;=2,"Fast",IF(orders[[#This Row],[delivery days]]&lt;=5,"Normal","Delayed")))</f>
        <v>Fast</v>
      </c>
    </row>
    <row r="491" spans="1:16" x14ac:dyDescent="0.25">
      <c r="A491" t="s">
        <v>627</v>
      </c>
      <c r="B491" s="5">
        <v>45843</v>
      </c>
      <c r="C491" t="s">
        <v>94</v>
      </c>
      <c r="D491" t="s">
        <v>97</v>
      </c>
      <c r="E491" t="s">
        <v>39</v>
      </c>
      <c r="F491">
        <v>4</v>
      </c>
      <c r="G491" s="1">
        <v>1560</v>
      </c>
      <c r="H491" s="1">
        <v>1040</v>
      </c>
      <c r="I491" s="5"/>
      <c r="J491" t="s">
        <v>16</v>
      </c>
      <c r="K491" t="s">
        <v>35</v>
      </c>
      <c r="L491" t="s">
        <v>103</v>
      </c>
      <c r="M491" s="1">
        <f>(orders[[#This Row],[Revenue]]-orders[[#This Row],[Cost]])</f>
        <v>520</v>
      </c>
      <c r="N491" s="8">
        <f>IFERROR(orders[[#This Row],[profit]]/orders[[#This Row],[Revenue]],0)</f>
        <v>0.33333333333333331</v>
      </c>
      <c r="O491" t="str">
        <f>IF(orders[[#This Row],[Delivery Date]]="","",(orders[[#This Row],[Delivery Date]]-orders[[#This Row],[Date]]))</f>
        <v/>
      </c>
      <c r="P491" t="str">
        <f>IF(orders[[#This Row],[delivery days]]="","Not Delivered",IF(orders[[#This Row],[delivery days]]&lt;=2,"Fast",IF(orders[[#This Row],[delivery days]]&lt;=5,"Normal","Delayed")))</f>
        <v>Not Delivered</v>
      </c>
    </row>
    <row r="492" spans="1:16" x14ac:dyDescent="0.25">
      <c r="A492" t="s">
        <v>628</v>
      </c>
      <c r="B492" s="5">
        <v>45843</v>
      </c>
      <c r="C492" t="s">
        <v>149</v>
      </c>
      <c r="D492" t="s">
        <v>21</v>
      </c>
      <c r="E492" t="s">
        <v>22</v>
      </c>
      <c r="F492">
        <v>1</v>
      </c>
      <c r="G492" s="1">
        <v>32</v>
      </c>
      <c r="H492" s="1">
        <v>13</v>
      </c>
      <c r="I492" s="5">
        <v>45846</v>
      </c>
      <c r="J492" t="s">
        <v>101</v>
      </c>
      <c r="K492" t="s">
        <v>35</v>
      </c>
      <c r="L492" t="s">
        <v>25</v>
      </c>
      <c r="M492" s="1">
        <f>(orders[[#This Row],[Revenue]]-orders[[#This Row],[Cost]])</f>
        <v>19</v>
      </c>
      <c r="N492" s="8">
        <f>IFERROR(orders[[#This Row],[profit]]/orders[[#This Row],[Revenue]],0)</f>
        <v>0.59375</v>
      </c>
      <c r="O492">
        <f>IF(orders[[#This Row],[Delivery Date]]="","",(orders[[#This Row],[Delivery Date]]-orders[[#This Row],[Date]]))</f>
        <v>3</v>
      </c>
      <c r="P492" t="str">
        <f>IF(orders[[#This Row],[delivery days]]="","Not Delivered",IF(orders[[#This Row],[delivery days]]&lt;=2,"Fast",IF(orders[[#This Row],[delivery days]]&lt;=5,"Normal","Delayed")))</f>
        <v>Normal</v>
      </c>
    </row>
    <row r="493" spans="1:16" x14ac:dyDescent="0.25">
      <c r="A493" t="s">
        <v>629</v>
      </c>
      <c r="B493" s="5">
        <v>45844</v>
      </c>
      <c r="C493" t="s">
        <v>112</v>
      </c>
      <c r="D493" t="s">
        <v>58</v>
      </c>
      <c r="E493" t="s">
        <v>39</v>
      </c>
      <c r="F493">
        <v>2</v>
      </c>
      <c r="G493" s="1">
        <v>2575</v>
      </c>
      <c r="H493" s="1">
        <v>1836</v>
      </c>
      <c r="I493" s="5">
        <v>45848</v>
      </c>
      <c r="J493" t="s">
        <v>16</v>
      </c>
      <c r="K493" t="s">
        <v>17</v>
      </c>
      <c r="L493" t="s">
        <v>25</v>
      </c>
      <c r="M493" s="1">
        <f>(orders[[#This Row],[Revenue]]-orders[[#This Row],[Cost]])</f>
        <v>739</v>
      </c>
      <c r="N493" s="8">
        <f>IFERROR(orders[[#This Row],[profit]]/orders[[#This Row],[Revenue]],0)</f>
        <v>0.28699029126213593</v>
      </c>
      <c r="O493">
        <f>IF(orders[[#This Row],[Delivery Date]]="","",(orders[[#This Row],[Delivery Date]]-orders[[#This Row],[Date]]))</f>
        <v>4</v>
      </c>
      <c r="P493" t="str">
        <f>IF(orders[[#This Row],[delivery days]]="","Not Delivered",IF(orders[[#This Row],[delivery days]]&lt;=2,"Fast",IF(orders[[#This Row],[delivery days]]&lt;=5,"Normal","Delayed")))</f>
        <v>Normal</v>
      </c>
    </row>
    <row r="494" spans="1:16" x14ac:dyDescent="0.25">
      <c r="A494" t="s">
        <v>630</v>
      </c>
      <c r="B494" s="5">
        <v>45844</v>
      </c>
      <c r="C494" t="s">
        <v>96</v>
      </c>
      <c r="D494" t="s">
        <v>76</v>
      </c>
      <c r="E494" t="s">
        <v>77</v>
      </c>
      <c r="F494">
        <v>3</v>
      </c>
      <c r="G494" s="1">
        <v>780</v>
      </c>
      <c r="H494" s="1">
        <v>485.1</v>
      </c>
      <c r="I494" s="5"/>
      <c r="J494" t="s">
        <v>23</v>
      </c>
      <c r="K494" t="s">
        <v>24</v>
      </c>
      <c r="L494" t="s">
        <v>42</v>
      </c>
      <c r="M494" s="1">
        <f>(orders[[#This Row],[Revenue]]-orders[[#This Row],[Cost]])</f>
        <v>294.89999999999998</v>
      </c>
      <c r="N494" s="8">
        <f>IFERROR(orders[[#This Row],[profit]]/orders[[#This Row],[Revenue]],0)</f>
        <v>0.37807692307692303</v>
      </c>
      <c r="O494" t="str">
        <f>IF(orders[[#This Row],[Delivery Date]]="","",(orders[[#This Row],[Delivery Date]]-orders[[#This Row],[Date]]))</f>
        <v/>
      </c>
      <c r="P494" t="str">
        <f>IF(orders[[#This Row],[delivery days]]="","Not Delivered",IF(orders[[#This Row],[delivery days]]&lt;=2,"Fast",IF(orders[[#This Row],[delivery days]]&lt;=5,"Normal","Delayed")))</f>
        <v>Not Delivered</v>
      </c>
    </row>
    <row r="495" spans="1:16" x14ac:dyDescent="0.25">
      <c r="A495" t="s">
        <v>631</v>
      </c>
      <c r="B495" s="5">
        <v>45845</v>
      </c>
      <c r="C495" t="s">
        <v>13</v>
      </c>
      <c r="D495" t="s">
        <v>219</v>
      </c>
      <c r="E495" t="s">
        <v>34</v>
      </c>
      <c r="F495">
        <v>2</v>
      </c>
      <c r="G495" s="1">
        <v>56</v>
      </c>
      <c r="H495" s="1">
        <v>22</v>
      </c>
      <c r="I495" s="5">
        <v>45850</v>
      </c>
      <c r="J495" t="s">
        <v>16</v>
      </c>
      <c r="K495" t="s">
        <v>35</v>
      </c>
      <c r="L495" t="s">
        <v>25</v>
      </c>
      <c r="M495" s="1">
        <f>(orders[[#This Row],[Revenue]]-orders[[#This Row],[Cost]])</f>
        <v>34</v>
      </c>
      <c r="N495" s="8">
        <f>IFERROR(orders[[#This Row],[profit]]/orders[[#This Row],[Revenue]],0)</f>
        <v>0.6071428571428571</v>
      </c>
      <c r="O495">
        <f>IF(orders[[#This Row],[Delivery Date]]="","",(orders[[#This Row],[Delivery Date]]-orders[[#This Row],[Date]]))</f>
        <v>5</v>
      </c>
      <c r="P495" t="str">
        <f>IF(orders[[#This Row],[delivery days]]="","Not Delivered",IF(orders[[#This Row],[delivery days]]&lt;=2,"Fast",IF(orders[[#This Row],[delivery days]]&lt;=5,"Normal","Delayed")))</f>
        <v>Normal</v>
      </c>
    </row>
    <row r="496" spans="1:16" x14ac:dyDescent="0.25">
      <c r="A496" t="s">
        <v>632</v>
      </c>
      <c r="B496" s="5">
        <v>45846</v>
      </c>
      <c r="C496" t="s">
        <v>96</v>
      </c>
      <c r="D496" t="s">
        <v>119</v>
      </c>
      <c r="E496" t="s">
        <v>39</v>
      </c>
      <c r="F496">
        <v>1</v>
      </c>
      <c r="G496" s="1">
        <v>55</v>
      </c>
      <c r="H496" s="1">
        <v>28</v>
      </c>
      <c r="I496" s="5"/>
      <c r="J496" t="s">
        <v>16</v>
      </c>
      <c r="K496" t="s">
        <v>17</v>
      </c>
      <c r="L496" t="s">
        <v>42</v>
      </c>
      <c r="M496" s="1">
        <f>(orders[[#This Row],[Revenue]]-orders[[#This Row],[Cost]])</f>
        <v>27</v>
      </c>
      <c r="N496" s="8">
        <f>IFERROR(orders[[#This Row],[profit]]/orders[[#This Row],[Revenue]],0)</f>
        <v>0.49090909090909091</v>
      </c>
      <c r="O496" t="str">
        <f>IF(orders[[#This Row],[Delivery Date]]="","",(orders[[#This Row],[Delivery Date]]-orders[[#This Row],[Date]]))</f>
        <v/>
      </c>
      <c r="P496" t="str">
        <f>IF(orders[[#This Row],[delivery days]]="","Not Delivered",IF(orders[[#This Row],[delivery days]]&lt;=2,"Fast",IF(orders[[#This Row],[delivery days]]&lt;=5,"Normal","Delayed")))</f>
        <v>Not Delivered</v>
      </c>
    </row>
    <row r="497" spans="1:16" x14ac:dyDescent="0.25">
      <c r="A497" t="s">
        <v>633</v>
      </c>
      <c r="B497" s="5">
        <v>45846</v>
      </c>
      <c r="C497" t="s">
        <v>72</v>
      </c>
      <c r="D497" t="s">
        <v>187</v>
      </c>
      <c r="E497" t="s">
        <v>15</v>
      </c>
      <c r="F497">
        <v>1</v>
      </c>
      <c r="G497" s="1">
        <v>33.950000000000003</v>
      </c>
      <c r="H497" s="1">
        <v>16</v>
      </c>
      <c r="I497" s="5">
        <v>45850</v>
      </c>
      <c r="J497" t="s">
        <v>46</v>
      </c>
      <c r="K497" t="s">
        <v>24</v>
      </c>
      <c r="L497" t="s">
        <v>25</v>
      </c>
      <c r="M497" s="1">
        <f>(orders[[#This Row],[Revenue]]-orders[[#This Row],[Cost]])</f>
        <v>17.950000000000003</v>
      </c>
      <c r="N497" s="8">
        <f>IFERROR(orders[[#This Row],[profit]]/orders[[#This Row],[Revenue]],0)</f>
        <v>0.52871870397643594</v>
      </c>
      <c r="O497">
        <f>IF(orders[[#This Row],[Delivery Date]]="","",(orders[[#This Row],[Delivery Date]]-orders[[#This Row],[Date]]))</f>
        <v>4</v>
      </c>
      <c r="P497" t="str">
        <f>IF(orders[[#This Row],[delivery days]]="","Not Delivered",IF(orders[[#This Row],[delivery days]]&lt;=2,"Fast",IF(orders[[#This Row],[delivery days]]&lt;=5,"Normal","Delayed")))</f>
        <v>Normal</v>
      </c>
    </row>
    <row r="498" spans="1:16" x14ac:dyDescent="0.25">
      <c r="A498" t="s">
        <v>634</v>
      </c>
      <c r="B498" s="5">
        <v>45846</v>
      </c>
      <c r="C498" t="s">
        <v>72</v>
      </c>
      <c r="D498" t="s">
        <v>300</v>
      </c>
      <c r="E498" t="s">
        <v>77</v>
      </c>
      <c r="F498">
        <v>1</v>
      </c>
      <c r="G498" s="1">
        <v>401.7</v>
      </c>
      <c r="H498" s="1">
        <v>245</v>
      </c>
      <c r="I498" s="5">
        <v>45849</v>
      </c>
      <c r="J498" t="s">
        <v>23</v>
      </c>
      <c r="K498" t="s">
        <v>24</v>
      </c>
      <c r="L498" t="s">
        <v>25</v>
      </c>
      <c r="M498" s="1">
        <f>(orders[[#This Row],[Revenue]]-orders[[#This Row],[Cost]])</f>
        <v>156.69999999999999</v>
      </c>
      <c r="N498" s="8">
        <f>IFERROR(orders[[#This Row],[profit]]/orders[[#This Row],[Revenue]],0)</f>
        <v>0.39009210853871046</v>
      </c>
      <c r="O498">
        <f>IF(orders[[#This Row],[Delivery Date]]="","",(orders[[#This Row],[Delivery Date]]-orders[[#This Row],[Date]]))</f>
        <v>3</v>
      </c>
      <c r="P498" t="str">
        <f>IF(orders[[#This Row],[delivery days]]="","Not Delivered",IF(orders[[#This Row],[delivery days]]&lt;=2,"Fast",IF(orders[[#This Row],[delivery days]]&lt;=5,"Normal","Delayed")))</f>
        <v>Normal</v>
      </c>
    </row>
    <row r="499" spans="1:16" x14ac:dyDescent="0.25">
      <c r="A499" t="s">
        <v>635</v>
      </c>
      <c r="B499" s="5">
        <v>45846</v>
      </c>
      <c r="C499" t="s">
        <v>75</v>
      </c>
      <c r="D499" t="s">
        <v>119</v>
      </c>
      <c r="E499" t="s">
        <v>39</v>
      </c>
      <c r="F499">
        <v>4</v>
      </c>
      <c r="G499" s="1">
        <v>220</v>
      </c>
      <c r="H499" s="1">
        <v>112</v>
      </c>
      <c r="I499" s="5">
        <v>45850</v>
      </c>
      <c r="J499" t="s">
        <v>101</v>
      </c>
      <c r="K499" t="s">
        <v>35</v>
      </c>
      <c r="L499" t="s">
        <v>25</v>
      </c>
      <c r="M499" s="1">
        <f>(orders[[#This Row],[Revenue]]-orders[[#This Row],[Cost]])</f>
        <v>108</v>
      </c>
      <c r="N499" s="8">
        <f>IFERROR(orders[[#This Row],[profit]]/orders[[#This Row],[Revenue]],0)</f>
        <v>0.49090909090909091</v>
      </c>
      <c r="O499">
        <f>IF(orders[[#This Row],[Delivery Date]]="","",(orders[[#This Row],[Delivery Date]]-orders[[#This Row],[Date]]))</f>
        <v>4</v>
      </c>
      <c r="P499" t="str">
        <f>IF(orders[[#This Row],[delivery days]]="","Not Delivered",IF(orders[[#This Row],[delivery days]]&lt;=2,"Fast",IF(orders[[#This Row],[delivery days]]&lt;=5,"Normal","Delayed")))</f>
        <v>Normal</v>
      </c>
    </row>
    <row r="500" spans="1:16" x14ac:dyDescent="0.25">
      <c r="A500" t="s">
        <v>636</v>
      </c>
      <c r="B500" s="5">
        <v>45847</v>
      </c>
      <c r="C500" t="s">
        <v>41</v>
      </c>
      <c r="D500" t="s">
        <v>150</v>
      </c>
      <c r="E500" t="s">
        <v>77</v>
      </c>
      <c r="F500">
        <v>1</v>
      </c>
      <c r="G500" s="1">
        <v>85</v>
      </c>
      <c r="H500" s="1">
        <v>44</v>
      </c>
      <c r="I500" s="5"/>
      <c r="J500" t="s">
        <v>30</v>
      </c>
      <c r="K500" t="s">
        <v>35</v>
      </c>
      <c r="L500" t="s">
        <v>103</v>
      </c>
      <c r="M500" s="1">
        <f>(orders[[#This Row],[Revenue]]-orders[[#This Row],[Cost]])</f>
        <v>41</v>
      </c>
      <c r="N500" s="8">
        <f>IFERROR(orders[[#This Row],[profit]]/orders[[#This Row],[Revenue]],0)</f>
        <v>0.4823529411764706</v>
      </c>
      <c r="O500" t="str">
        <f>IF(orders[[#This Row],[Delivery Date]]="","",(orders[[#This Row],[Delivery Date]]-orders[[#This Row],[Date]]))</f>
        <v/>
      </c>
      <c r="P500" t="str">
        <f>IF(orders[[#This Row],[delivery days]]="","Not Delivered",IF(orders[[#This Row],[delivery days]]&lt;=2,"Fast",IF(orders[[#This Row],[delivery days]]&lt;=5,"Normal","Delayed")))</f>
        <v>Not Delivered</v>
      </c>
    </row>
    <row r="501" spans="1:16" x14ac:dyDescent="0.25">
      <c r="A501" t="s">
        <v>637</v>
      </c>
      <c r="B501" s="5">
        <v>45847</v>
      </c>
      <c r="C501" t="s">
        <v>121</v>
      </c>
      <c r="D501" t="s">
        <v>97</v>
      </c>
      <c r="E501" t="s">
        <v>39</v>
      </c>
      <c r="F501">
        <v>1</v>
      </c>
      <c r="G501" s="1">
        <v>390</v>
      </c>
      <c r="H501" s="1">
        <v>260</v>
      </c>
      <c r="I501" s="5"/>
      <c r="J501" t="s">
        <v>101</v>
      </c>
      <c r="K501" t="s">
        <v>35</v>
      </c>
      <c r="L501" t="s">
        <v>42</v>
      </c>
      <c r="M501" s="1">
        <f>(orders[[#This Row],[Revenue]]-orders[[#This Row],[Cost]])</f>
        <v>130</v>
      </c>
      <c r="N501" s="8">
        <f>IFERROR(orders[[#This Row],[profit]]/orders[[#This Row],[Revenue]],0)</f>
        <v>0.33333333333333331</v>
      </c>
      <c r="O501" t="str">
        <f>IF(orders[[#This Row],[Delivery Date]]="","",(orders[[#This Row],[Delivery Date]]-orders[[#This Row],[Date]]))</f>
        <v/>
      </c>
      <c r="P501" t="str">
        <f>IF(orders[[#This Row],[delivery days]]="","Not Delivered",IF(orders[[#This Row],[delivery days]]&lt;=2,"Fast",IF(orders[[#This Row],[delivery days]]&lt;=5,"Normal","Delayed")))</f>
        <v>Not Delivered</v>
      </c>
    </row>
    <row r="502" spans="1:16" x14ac:dyDescent="0.25">
      <c r="A502" t="s">
        <v>638</v>
      </c>
      <c r="B502" s="5">
        <v>45849</v>
      </c>
      <c r="C502" t="s">
        <v>228</v>
      </c>
      <c r="D502" t="s">
        <v>80</v>
      </c>
      <c r="E502" t="s">
        <v>77</v>
      </c>
      <c r="F502">
        <v>2</v>
      </c>
      <c r="G502" s="1">
        <v>154.5</v>
      </c>
      <c r="H502" s="1">
        <v>76</v>
      </c>
      <c r="I502" s="5">
        <v>45853</v>
      </c>
      <c r="J502" t="s">
        <v>16</v>
      </c>
      <c r="K502" t="s">
        <v>17</v>
      </c>
      <c r="L502" t="s">
        <v>25</v>
      </c>
      <c r="M502" s="1">
        <f>(orders[[#This Row],[Revenue]]-orders[[#This Row],[Cost]])</f>
        <v>78.5</v>
      </c>
      <c r="N502" s="8">
        <f>IFERROR(orders[[#This Row],[profit]]/orders[[#This Row],[Revenue]],0)</f>
        <v>0.50809061488673135</v>
      </c>
      <c r="O502">
        <f>IF(orders[[#This Row],[Delivery Date]]="","",(orders[[#This Row],[Delivery Date]]-orders[[#This Row],[Date]]))</f>
        <v>4</v>
      </c>
      <c r="P502" t="str">
        <f>IF(orders[[#This Row],[delivery days]]="","Not Delivered",IF(orders[[#This Row],[delivery days]]&lt;=2,"Fast",IF(orders[[#This Row],[delivery days]]&lt;=5,"Normal","Delayed")))</f>
        <v>Normal</v>
      </c>
    </row>
    <row r="503" spans="1:16" x14ac:dyDescent="0.25">
      <c r="A503" t="s">
        <v>639</v>
      </c>
      <c r="B503" s="5">
        <v>45849</v>
      </c>
      <c r="C503" t="s">
        <v>316</v>
      </c>
      <c r="D503" t="s">
        <v>159</v>
      </c>
      <c r="E503" t="s">
        <v>39</v>
      </c>
      <c r="F503">
        <v>1</v>
      </c>
      <c r="G503" s="1">
        <v>118.8</v>
      </c>
      <c r="H503" s="1">
        <v>62</v>
      </c>
      <c r="I503" s="5">
        <v>45850</v>
      </c>
      <c r="J503" t="s">
        <v>16</v>
      </c>
      <c r="K503" t="s">
        <v>35</v>
      </c>
      <c r="L503" t="s">
        <v>25</v>
      </c>
      <c r="M503" s="1">
        <f>(orders[[#This Row],[Revenue]]-orders[[#This Row],[Cost]])</f>
        <v>56.8</v>
      </c>
      <c r="N503" s="8">
        <f>IFERROR(orders[[#This Row],[profit]]/orders[[#This Row],[Revenue]],0)</f>
        <v>0.4781144781144781</v>
      </c>
      <c r="O503">
        <f>IF(orders[[#This Row],[Delivery Date]]="","",(orders[[#This Row],[Delivery Date]]-orders[[#This Row],[Date]]))</f>
        <v>1</v>
      </c>
      <c r="P503" t="str">
        <f>IF(orders[[#This Row],[delivery days]]="","Not Delivered",IF(orders[[#This Row],[delivery days]]&lt;=2,"Fast",IF(orders[[#This Row],[delivery days]]&lt;=5,"Normal","Delayed")))</f>
        <v>Fast</v>
      </c>
    </row>
    <row r="504" spans="1:16" x14ac:dyDescent="0.25">
      <c r="A504" t="s">
        <v>640</v>
      </c>
      <c r="B504" s="5">
        <v>45849</v>
      </c>
      <c r="C504" t="s">
        <v>278</v>
      </c>
      <c r="D504" t="s">
        <v>129</v>
      </c>
      <c r="E504" t="s">
        <v>39</v>
      </c>
      <c r="F504">
        <v>1</v>
      </c>
      <c r="G504" s="1">
        <v>116.4</v>
      </c>
      <c r="H504" s="1">
        <v>68</v>
      </c>
      <c r="I504" s="5">
        <v>45850</v>
      </c>
      <c r="J504" t="s">
        <v>16</v>
      </c>
      <c r="K504" t="s">
        <v>35</v>
      </c>
      <c r="L504" t="s">
        <v>25</v>
      </c>
      <c r="M504" s="1">
        <f>(orders[[#This Row],[Revenue]]-orders[[#This Row],[Cost]])</f>
        <v>48.400000000000006</v>
      </c>
      <c r="N504" s="8">
        <f>IFERROR(orders[[#This Row],[profit]]/orders[[#This Row],[Revenue]],0)</f>
        <v>0.41580756013745707</v>
      </c>
      <c r="O504">
        <f>IF(orders[[#This Row],[Delivery Date]]="","",(orders[[#This Row],[Delivery Date]]-orders[[#This Row],[Date]]))</f>
        <v>1</v>
      </c>
      <c r="P504" t="str">
        <f>IF(orders[[#This Row],[delivery days]]="","Not Delivered",IF(orders[[#This Row],[delivery days]]&lt;=2,"Fast",IF(orders[[#This Row],[delivery days]]&lt;=5,"Normal","Delayed")))</f>
        <v>Fast</v>
      </c>
    </row>
    <row r="505" spans="1:16" x14ac:dyDescent="0.25">
      <c r="A505" t="s">
        <v>641</v>
      </c>
      <c r="B505" s="5">
        <v>45850</v>
      </c>
      <c r="C505" t="s">
        <v>278</v>
      </c>
      <c r="D505" t="s">
        <v>270</v>
      </c>
      <c r="E505" t="s">
        <v>39</v>
      </c>
      <c r="F505">
        <v>3</v>
      </c>
      <c r="G505" s="1">
        <v>135</v>
      </c>
      <c r="H505" s="1">
        <v>66</v>
      </c>
      <c r="I505" s="5"/>
      <c r="J505" t="s">
        <v>46</v>
      </c>
      <c r="K505" t="s">
        <v>47</v>
      </c>
      <c r="L505" t="s">
        <v>103</v>
      </c>
      <c r="M505" s="1">
        <f>(orders[[#This Row],[Revenue]]-orders[[#This Row],[Cost]])</f>
        <v>69</v>
      </c>
      <c r="N505" s="8">
        <f>IFERROR(orders[[#This Row],[profit]]/orders[[#This Row],[Revenue]],0)</f>
        <v>0.51111111111111107</v>
      </c>
      <c r="O505" t="str">
        <f>IF(orders[[#This Row],[Delivery Date]]="","",(orders[[#This Row],[Delivery Date]]-orders[[#This Row],[Date]]))</f>
        <v/>
      </c>
      <c r="P505" t="str">
        <f>IF(orders[[#This Row],[delivery days]]="","Not Delivered",IF(orders[[#This Row],[delivery days]]&lt;=2,"Fast",IF(orders[[#This Row],[delivery days]]&lt;=5,"Normal","Delayed")))</f>
        <v>Not Delivered</v>
      </c>
    </row>
    <row r="506" spans="1:16" x14ac:dyDescent="0.25">
      <c r="A506" t="s">
        <v>642</v>
      </c>
      <c r="B506" s="5">
        <v>45851</v>
      </c>
      <c r="C506" t="s">
        <v>325</v>
      </c>
      <c r="D506" t="s">
        <v>300</v>
      </c>
      <c r="E506" t="s">
        <v>77</v>
      </c>
      <c r="F506">
        <v>1</v>
      </c>
      <c r="G506" s="1">
        <v>401.7</v>
      </c>
      <c r="H506" s="1">
        <v>249.9</v>
      </c>
      <c r="I506" s="5">
        <v>45853</v>
      </c>
      <c r="J506" t="s">
        <v>16</v>
      </c>
      <c r="K506" t="s">
        <v>35</v>
      </c>
      <c r="L506" t="s">
        <v>25</v>
      </c>
      <c r="M506" s="1">
        <f>(orders[[#This Row],[Revenue]]-orders[[#This Row],[Cost]])</f>
        <v>151.79999999999998</v>
      </c>
      <c r="N506" s="8">
        <f>IFERROR(orders[[#This Row],[profit]]/orders[[#This Row],[Revenue]],0)</f>
        <v>0.37789395070948467</v>
      </c>
      <c r="O506">
        <f>IF(orders[[#This Row],[Delivery Date]]="","",(orders[[#This Row],[Delivery Date]]-orders[[#This Row],[Date]]))</f>
        <v>2</v>
      </c>
      <c r="P506" t="str">
        <f>IF(orders[[#This Row],[delivery days]]="","Not Delivered",IF(orders[[#This Row],[delivery days]]&lt;=2,"Fast",IF(orders[[#This Row],[delivery days]]&lt;=5,"Normal","Delayed")))</f>
        <v>Fast</v>
      </c>
    </row>
    <row r="507" spans="1:16" x14ac:dyDescent="0.25">
      <c r="A507" t="s">
        <v>643</v>
      </c>
      <c r="B507" s="5">
        <v>45851</v>
      </c>
      <c r="C507" t="s">
        <v>487</v>
      </c>
      <c r="D507" t="s">
        <v>80</v>
      </c>
      <c r="E507" t="s">
        <v>77</v>
      </c>
      <c r="F507">
        <v>1</v>
      </c>
      <c r="G507" s="1">
        <v>75</v>
      </c>
      <c r="H507" s="1">
        <v>38</v>
      </c>
      <c r="I507" s="5">
        <v>45857</v>
      </c>
      <c r="J507" t="s">
        <v>52</v>
      </c>
      <c r="K507" t="s">
        <v>24</v>
      </c>
      <c r="L507" t="s">
        <v>25</v>
      </c>
      <c r="M507" s="1">
        <f>(orders[[#This Row],[Revenue]]-orders[[#This Row],[Cost]])</f>
        <v>37</v>
      </c>
      <c r="N507" s="8">
        <f>IFERROR(orders[[#This Row],[profit]]/orders[[#This Row],[Revenue]],0)</f>
        <v>0.49333333333333335</v>
      </c>
      <c r="O507">
        <f>IF(orders[[#This Row],[Delivery Date]]="","",(orders[[#This Row],[Delivery Date]]-orders[[#This Row],[Date]]))</f>
        <v>6</v>
      </c>
      <c r="P507" t="str">
        <f>IF(orders[[#This Row],[delivery days]]="","Not Delivered",IF(orders[[#This Row],[delivery days]]&lt;=2,"Fast",IF(orders[[#This Row],[delivery days]]&lt;=5,"Normal","Delayed")))</f>
        <v>Delayed</v>
      </c>
    </row>
    <row r="508" spans="1:16" x14ac:dyDescent="0.25">
      <c r="A508" t="s">
        <v>644</v>
      </c>
      <c r="B508" s="5">
        <v>45851</v>
      </c>
      <c r="C508" t="s">
        <v>112</v>
      </c>
      <c r="D508" t="s">
        <v>270</v>
      </c>
      <c r="E508" t="s">
        <v>39</v>
      </c>
      <c r="F508">
        <v>4</v>
      </c>
      <c r="G508" s="1">
        <v>194.4</v>
      </c>
      <c r="H508" s="1">
        <v>88</v>
      </c>
      <c r="I508" s="5">
        <v>45855</v>
      </c>
      <c r="J508" t="s">
        <v>30</v>
      </c>
      <c r="K508" t="s">
        <v>17</v>
      </c>
      <c r="L508" t="s">
        <v>25</v>
      </c>
      <c r="M508" s="1">
        <f>(orders[[#This Row],[Revenue]]-orders[[#This Row],[Cost]])</f>
        <v>106.4</v>
      </c>
      <c r="N508" s="8">
        <f>IFERROR(orders[[#This Row],[profit]]/orders[[#This Row],[Revenue]],0)</f>
        <v>0.5473251028806585</v>
      </c>
      <c r="O508">
        <f>IF(orders[[#This Row],[Delivery Date]]="","",(orders[[#This Row],[Delivery Date]]-orders[[#This Row],[Date]]))</f>
        <v>4</v>
      </c>
      <c r="P508" t="str">
        <f>IF(orders[[#This Row],[delivery days]]="","Not Delivered",IF(orders[[#This Row],[delivery days]]&lt;=2,"Fast",IF(orders[[#This Row],[delivery days]]&lt;=5,"Normal","Delayed")))</f>
        <v>Normal</v>
      </c>
    </row>
    <row r="509" spans="1:16" x14ac:dyDescent="0.25">
      <c r="A509" t="s">
        <v>645</v>
      </c>
      <c r="B509" s="5">
        <v>45852</v>
      </c>
      <c r="C509" t="s">
        <v>49</v>
      </c>
      <c r="D509" t="s">
        <v>110</v>
      </c>
      <c r="E509" t="s">
        <v>39</v>
      </c>
      <c r="F509">
        <v>1</v>
      </c>
      <c r="G509" s="1">
        <v>210</v>
      </c>
      <c r="H509" s="1">
        <v>125</v>
      </c>
      <c r="I509" s="5">
        <v>45854</v>
      </c>
      <c r="J509" t="s">
        <v>16</v>
      </c>
      <c r="K509" t="s">
        <v>17</v>
      </c>
      <c r="L509" t="s">
        <v>25</v>
      </c>
      <c r="M509" s="1">
        <f>(orders[[#This Row],[Revenue]]-orders[[#This Row],[Cost]])</f>
        <v>85</v>
      </c>
      <c r="N509" s="8">
        <f>IFERROR(orders[[#This Row],[profit]]/orders[[#This Row],[Revenue]],0)</f>
        <v>0.40476190476190477</v>
      </c>
      <c r="O509">
        <f>IF(orders[[#This Row],[Delivery Date]]="","",(orders[[#This Row],[Delivery Date]]-orders[[#This Row],[Date]]))</f>
        <v>2</v>
      </c>
      <c r="P509" t="str">
        <f>IF(orders[[#This Row],[delivery days]]="","Not Delivered",IF(orders[[#This Row],[delivery days]]&lt;=2,"Fast",IF(orders[[#This Row],[delivery days]]&lt;=5,"Normal","Delayed")))</f>
        <v>Fast</v>
      </c>
    </row>
    <row r="510" spans="1:16" x14ac:dyDescent="0.25">
      <c r="A510" t="s">
        <v>646</v>
      </c>
      <c r="B510" s="5">
        <v>45852</v>
      </c>
      <c r="C510" t="s">
        <v>90</v>
      </c>
      <c r="D510" t="s">
        <v>45</v>
      </c>
      <c r="E510" t="s">
        <v>34</v>
      </c>
      <c r="F510">
        <v>4</v>
      </c>
      <c r="G510" s="1">
        <v>288</v>
      </c>
      <c r="H510" s="1">
        <v>124</v>
      </c>
      <c r="I510" s="5">
        <v>45857</v>
      </c>
      <c r="J510" t="s">
        <v>16</v>
      </c>
      <c r="K510" t="s">
        <v>17</v>
      </c>
      <c r="L510" t="s">
        <v>25</v>
      </c>
      <c r="M510" s="1">
        <f>(orders[[#This Row],[Revenue]]-orders[[#This Row],[Cost]])</f>
        <v>164</v>
      </c>
      <c r="N510" s="8">
        <f>IFERROR(orders[[#This Row],[profit]]/orders[[#This Row],[Revenue]],0)</f>
        <v>0.56944444444444442</v>
      </c>
      <c r="O510">
        <f>IF(orders[[#This Row],[Delivery Date]]="","",(orders[[#This Row],[Delivery Date]]-orders[[#This Row],[Date]]))</f>
        <v>5</v>
      </c>
      <c r="P510" t="str">
        <f>IF(orders[[#This Row],[delivery days]]="","Not Delivered",IF(orders[[#This Row],[delivery days]]&lt;=2,"Fast",IF(orders[[#This Row],[delivery days]]&lt;=5,"Normal","Delayed")))</f>
        <v>Normal</v>
      </c>
    </row>
    <row r="511" spans="1:16" x14ac:dyDescent="0.25">
      <c r="A511" t="s">
        <v>647</v>
      </c>
      <c r="B511" s="5">
        <v>45852</v>
      </c>
      <c r="C511" t="s">
        <v>88</v>
      </c>
      <c r="D511" t="s">
        <v>270</v>
      </c>
      <c r="E511" t="s">
        <v>39</v>
      </c>
      <c r="F511">
        <v>2</v>
      </c>
      <c r="G511" s="1">
        <v>87.3</v>
      </c>
      <c r="H511" s="1">
        <v>44</v>
      </c>
      <c r="I511" s="5">
        <v>45855</v>
      </c>
      <c r="J511" t="s">
        <v>16</v>
      </c>
      <c r="K511" t="s">
        <v>35</v>
      </c>
      <c r="L511" t="s">
        <v>25</v>
      </c>
      <c r="M511" s="1">
        <f>(orders[[#This Row],[Revenue]]-orders[[#This Row],[Cost]])</f>
        <v>43.3</v>
      </c>
      <c r="N511" s="8">
        <f>IFERROR(orders[[#This Row],[profit]]/orders[[#This Row],[Revenue]],0)</f>
        <v>0.49599083619702172</v>
      </c>
      <c r="O511">
        <f>IF(orders[[#This Row],[Delivery Date]]="","",(orders[[#This Row],[Delivery Date]]-orders[[#This Row],[Date]]))</f>
        <v>3</v>
      </c>
      <c r="P511" t="str">
        <f>IF(orders[[#This Row],[delivery days]]="","Not Delivered",IF(orders[[#This Row],[delivery days]]&lt;=2,"Fast",IF(orders[[#This Row],[delivery days]]&lt;=5,"Normal","Delayed")))</f>
        <v>Normal</v>
      </c>
    </row>
    <row r="512" spans="1:16" x14ac:dyDescent="0.25">
      <c r="A512" t="s">
        <v>648</v>
      </c>
      <c r="B512" s="5">
        <v>45852</v>
      </c>
      <c r="C512" t="s">
        <v>200</v>
      </c>
      <c r="D512" t="s">
        <v>58</v>
      </c>
      <c r="E512" t="s">
        <v>39</v>
      </c>
      <c r="F512">
        <v>2</v>
      </c>
      <c r="G512" s="1">
        <v>2500</v>
      </c>
      <c r="H512" s="1">
        <v>1800</v>
      </c>
      <c r="I512" s="5">
        <v>45853</v>
      </c>
      <c r="J512" t="s">
        <v>30</v>
      </c>
      <c r="K512" t="s">
        <v>35</v>
      </c>
      <c r="L512" t="s">
        <v>25</v>
      </c>
      <c r="M512" s="1">
        <f>(orders[[#This Row],[Revenue]]-orders[[#This Row],[Cost]])</f>
        <v>700</v>
      </c>
      <c r="N512" s="8">
        <f>IFERROR(orders[[#This Row],[profit]]/orders[[#This Row],[Revenue]],0)</f>
        <v>0.28000000000000003</v>
      </c>
      <c r="O512">
        <f>IF(orders[[#This Row],[Delivery Date]]="","",(orders[[#This Row],[Delivery Date]]-orders[[#This Row],[Date]]))</f>
        <v>1</v>
      </c>
      <c r="P512" t="str">
        <f>IF(orders[[#This Row],[delivery days]]="","Not Delivered",IF(orders[[#This Row],[delivery days]]&lt;=2,"Fast",IF(orders[[#This Row],[delivery days]]&lt;=5,"Normal","Delayed")))</f>
        <v>Fast</v>
      </c>
    </row>
    <row r="513" spans="1:16" x14ac:dyDescent="0.25">
      <c r="A513" t="s">
        <v>649</v>
      </c>
      <c r="B513" s="5">
        <v>45852</v>
      </c>
      <c r="C513" t="s">
        <v>184</v>
      </c>
      <c r="D513" t="s">
        <v>51</v>
      </c>
      <c r="E513" t="s">
        <v>34</v>
      </c>
      <c r="F513">
        <v>2</v>
      </c>
      <c r="G513" s="1">
        <v>170</v>
      </c>
      <c r="H513" s="1">
        <v>84</v>
      </c>
      <c r="I513" s="5">
        <v>45854</v>
      </c>
      <c r="J513" t="s">
        <v>101</v>
      </c>
      <c r="K513" t="s">
        <v>35</v>
      </c>
      <c r="L513" t="s">
        <v>25</v>
      </c>
      <c r="M513" s="1">
        <f>(orders[[#This Row],[Revenue]]-orders[[#This Row],[Cost]])</f>
        <v>86</v>
      </c>
      <c r="N513" s="8">
        <f>IFERROR(orders[[#This Row],[profit]]/orders[[#This Row],[Revenue]],0)</f>
        <v>0.50588235294117645</v>
      </c>
      <c r="O513">
        <f>IF(orders[[#This Row],[Delivery Date]]="","",(orders[[#This Row],[Delivery Date]]-orders[[#This Row],[Date]]))</f>
        <v>2</v>
      </c>
      <c r="P513" t="str">
        <f>IF(orders[[#This Row],[delivery days]]="","Not Delivered",IF(orders[[#This Row],[delivery days]]&lt;=2,"Fast",IF(orders[[#This Row],[delivery days]]&lt;=5,"Normal","Delayed")))</f>
        <v>Fast</v>
      </c>
    </row>
    <row r="514" spans="1:16" x14ac:dyDescent="0.25">
      <c r="A514" t="s">
        <v>650</v>
      </c>
      <c r="B514" s="5">
        <v>45853</v>
      </c>
      <c r="C514" t="s">
        <v>228</v>
      </c>
      <c r="D514" t="s">
        <v>177</v>
      </c>
      <c r="E514" t="s">
        <v>34</v>
      </c>
      <c r="F514">
        <v>1</v>
      </c>
      <c r="G514" s="1">
        <v>149.35</v>
      </c>
      <c r="H514" s="1">
        <v>78</v>
      </c>
      <c r="I514" s="5">
        <v>45859</v>
      </c>
      <c r="J514" t="s">
        <v>46</v>
      </c>
      <c r="K514" t="s">
        <v>24</v>
      </c>
      <c r="L514" t="s">
        <v>25</v>
      </c>
      <c r="M514" s="1">
        <f>(orders[[#This Row],[Revenue]]-orders[[#This Row],[Cost]])</f>
        <v>71.349999999999994</v>
      </c>
      <c r="N514" s="8">
        <f>IFERROR(orders[[#This Row],[profit]]/orders[[#This Row],[Revenue]],0)</f>
        <v>0.47773685972547703</v>
      </c>
      <c r="O514">
        <f>IF(orders[[#This Row],[Delivery Date]]="","",(orders[[#This Row],[Delivery Date]]-orders[[#This Row],[Date]]))</f>
        <v>6</v>
      </c>
      <c r="P514" t="str">
        <f>IF(orders[[#This Row],[delivery days]]="","Not Delivered",IF(orders[[#This Row],[delivery days]]&lt;=2,"Fast",IF(orders[[#This Row],[delivery days]]&lt;=5,"Normal","Delayed")))</f>
        <v>Delayed</v>
      </c>
    </row>
    <row r="515" spans="1:16" x14ac:dyDescent="0.25">
      <c r="A515" t="s">
        <v>651</v>
      </c>
      <c r="B515" s="5">
        <v>45854</v>
      </c>
      <c r="C515" t="s">
        <v>246</v>
      </c>
      <c r="D515" t="s">
        <v>235</v>
      </c>
      <c r="E515" t="s">
        <v>15</v>
      </c>
      <c r="F515">
        <v>5</v>
      </c>
      <c r="G515" s="1">
        <v>351</v>
      </c>
      <c r="H515" s="1">
        <v>151.9</v>
      </c>
      <c r="I515" s="5"/>
      <c r="J515" t="s">
        <v>23</v>
      </c>
      <c r="K515" t="s">
        <v>24</v>
      </c>
      <c r="L515" t="s">
        <v>103</v>
      </c>
      <c r="M515" s="1">
        <f>(orders[[#This Row],[Revenue]]-orders[[#This Row],[Cost]])</f>
        <v>199.1</v>
      </c>
      <c r="N515" s="8">
        <f>IFERROR(orders[[#This Row],[profit]]/orders[[#This Row],[Revenue]],0)</f>
        <v>0.56723646723646726</v>
      </c>
      <c r="O515" t="str">
        <f>IF(orders[[#This Row],[Delivery Date]]="","",(orders[[#This Row],[Delivery Date]]-orders[[#This Row],[Date]]))</f>
        <v/>
      </c>
      <c r="P515" t="str">
        <f>IF(orders[[#This Row],[delivery days]]="","Not Delivered",IF(orders[[#This Row],[delivery days]]&lt;=2,"Fast",IF(orders[[#This Row],[delivery days]]&lt;=5,"Normal","Delayed")))</f>
        <v>Not Delivered</v>
      </c>
    </row>
    <row r="516" spans="1:16" x14ac:dyDescent="0.25">
      <c r="A516" t="s">
        <v>652</v>
      </c>
      <c r="B516" s="5">
        <v>45854</v>
      </c>
      <c r="C516" t="s">
        <v>243</v>
      </c>
      <c r="D516" t="s">
        <v>208</v>
      </c>
      <c r="E516" t="s">
        <v>15</v>
      </c>
      <c r="F516">
        <v>2</v>
      </c>
      <c r="G516" s="1">
        <v>260</v>
      </c>
      <c r="H516" s="1">
        <v>152</v>
      </c>
      <c r="I516" s="5">
        <v>45857</v>
      </c>
      <c r="J516" t="s">
        <v>16</v>
      </c>
      <c r="K516" t="s">
        <v>17</v>
      </c>
      <c r="L516" t="s">
        <v>25</v>
      </c>
      <c r="M516" s="1">
        <f>(orders[[#This Row],[Revenue]]-orders[[#This Row],[Cost]])</f>
        <v>108</v>
      </c>
      <c r="N516" s="8">
        <f>IFERROR(orders[[#This Row],[profit]]/orders[[#This Row],[Revenue]],0)</f>
        <v>0.41538461538461541</v>
      </c>
      <c r="O516">
        <f>IF(orders[[#This Row],[Delivery Date]]="","",(orders[[#This Row],[Delivery Date]]-orders[[#This Row],[Date]]))</f>
        <v>3</v>
      </c>
      <c r="P516" t="str">
        <f>IF(orders[[#This Row],[delivery days]]="","Not Delivered",IF(orders[[#This Row],[delivery days]]&lt;=2,"Fast",IF(orders[[#This Row],[delivery days]]&lt;=5,"Normal","Delayed")))</f>
        <v>Normal</v>
      </c>
    </row>
    <row r="517" spans="1:16" x14ac:dyDescent="0.25">
      <c r="A517" t="s">
        <v>653</v>
      </c>
      <c r="B517" s="5">
        <v>45854</v>
      </c>
      <c r="C517" t="s">
        <v>174</v>
      </c>
      <c r="D517" t="s">
        <v>83</v>
      </c>
      <c r="E517" t="s">
        <v>15</v>
      </c>
      <c r="F517">
        <v>5</v>
      </c>
      <c r="G517" s="1">
        <v>363.75</v>
      </c>
      <c r="H517" s="1">
        <v>195</v>
      </c>
      <c r="I517" s="5">
        <v>45857</v>
      </c>
      <c r="J517" t="s">
        <v>23</v>
      </c>
      <c r="K517" t="s">
        <v>17</v>
      </c>
      <c r="L517" t="s">
        <v>25</v>
      </c>
      <c r="M517" s="1">
        <f>(orders[[#This Row],[Revenue]]-orders[[#This Row],[Cost]])</f>
        <v>168.75</v>
      </c>
      <c r="N517" s="8">
        <f>IFERROR(orders[[#This Row],[profit]]/orders[[#This Row],[Revenue]],0)</f>
        <v>0.46391752577319589</v>
      </c>
      <c r="O517">
        <f>IF(orders[[#This Row],[Delivery Date]]="","",(orders[[#This Row],[Delivery Date]]-orders[[#This Row],[Date]]))</f>
        <v>3</v>
      </c>
      <c r="P517" t="str">
        <f>IF(orders[[#This Row],[delivery days]]="","Not Delivered",IF(orders[[#This Row],[delivery days]]&lt;=2,"Fast",IF(orders[[#This Row],[delivery days]]&lt;=5,"Normal","Delayed")))</f>
        <v>Normal</v>
      </c>
    </row>
    <row r="518" spans="1:16" x14ac:dyDescent="0.25">
      <c r="A518" t="s">
        <v>654</v>
      </c>
      <c r="B518" s="5">
        <v>45854</v>
      </c>
      <c r="C518" t="s">
        <v>75</v>
      </c>
      <c r="D518" t="s">
        <v>266</v>
      </c>
      <c r="E518" t="s">
        <v>22</v>
      </c>
      <c r="F518">
        <v>1</v>
      </c>
      <c r="G518" s="1">
        <v>17.46</v>
      </c>
      <c r="H518" s="1">
        <v>7</v>
      </c>
      <c r="I518" s="5">
        <v>45858</v>
      </c>
      <c r="J518" t="s">
        <v>46</v>
      </c>
      <c r="K518" t="s">
        <v>24</v>
      </c>
      <c r="L518" t="s">
        <v>25</v>
      </c>
      <c r="M518" s="1">
        <f>(orders[[#This Row],[Revenue]]-orders[[#This Row],[Cost]])</f>
        <v>10.46</v>
      </c>
      <c r="N518" s="8">
        <f>IFERROR(orders[[#This Row],[profit]]/orders[[#This Row],[Revenue]],0)</f>
        <v>0.59908361970217638</v>
      </c>
      <c r="O518">
        <f>IF(orders[[#This Row],[Delivery Date]]="","",(orders[[#This Row],[Delivery Date]]-orders[[#This Row],[Date]]))</f>
        <v>4</v>
      </c>
      <c r="P518" t="str">
        <f>IF(orders[[#This Row],[delivery days]]="","Not Delivered",IF(orders[[#This Row],[delivery days]]&lt;=2,"Fast",IF(orders[[#This Row],[delivery days]]&lt;=5,"Normal","Delayed")))</f>
        <v>Normal</v>
      </c>
    </row>
    <row r="519" spans="1:16" x14ac:dyDescent="0.25">
      <c r="A519" t="s">
        <v>655</v>
      </c>
      <c r="B519" s="5">
        <v>45855</v>
      </c>
      <c r="C519" t="s">
        <v>259</v>
      </c>
      <c r="D519" t="s">
        <v>127</v>
      </c>
      <c r="E519" t="s">
        <v>29</v>
      </c>
      <c r="F519">
        <v>1</v>
      </c>
      <c r="G519" s="1">
        <v>18</v>
      </c>
      <c r="H519" s="1">
        <v>5.88</v>
      </c>
      <c r="I519" s="5">
        <v>45857</v>
      </c>
      <c r="J519" t="s">
        <v>30</v>
      </c>
      <c r="K519" t="s">
        <v>17</v>
      </c>
      <c r="L519" t="s">
        <v>25</v>
      </c>
      <c r="M519" s="1">
        <f>(orders[[#This Row],[Revenue]]-orders[[#This Row],[Cost]])</f>
        <v>12.120000000000001</v>
      </c>
      <c r="N519" s="8">
        <f>IFERROR(orders[[#This Row],[profit]]/orders[[#This Row],[Revenue]],0)</f>
        <v>0.67333333333333334</v>
      </c>
      <c r="O519">
        <f>IF(orders[[#This Row],[Delivery Date]]="","",(orders[[#This Row],[Delivery Date]]-orders[[#This Row],[Date]]))</f>
        <v>2</v>
      </c>
      <c r="P519" t="str">
        <f>IF(orders[[#This Row],[delivery days]]="","Not Delivered",IF(orders[[#This Row],[delivery days]]&lt;=2,"Fast",IF(orders[[#This Row],[delivery days]]&lt;=5,"Normal","Delayed")))</f>
        <v>Fast</v>
      </c>
    </row>
    <row r="520" spans="1:16" x14ac:dyDescent="0.25">
      <c r="A520" t="s">
        <v>656</v>
      </c>
      <c r="B520" s="5">
        <v>45855</v>
      </c>
      <c r="C520" t="s">
        <v>96</v>
      </c>
      <c r="D520" t="s">
        <v>289</v>
      </c>
      <c r="E520" t="s">
        <v>22</v>
      </c>
      <c r="F520">
        <v>3</v>
      </c>
      <c r="G520" s="1">
        <v>180.42</v>
      </c>
      <c r="H520" s="1">
        <v>88.74</v>
      </c>
      <c r="I520" s="5">
        <v>45856</v>
      </c>
      <c r="J520" t="s">
        <v>30</v>
      </c>
      <c r="K520" t="s">
        <v>35</v>
      </c>
      <c r="L520" t="s">
        <v>25</v>
      </c>
      <c r="M520" s="1">
        <f>(orders[[#This Row],[Revenue]]-orders[[#This Row],[Cost]])</f>
        <v>91.679999999999993</v>
      </c>
      <c r="N520" s="8">
        <f>IFERROR(orders[[#This Row],[profit]]/orders[[#This Row],[Revenue]],0)</f>
        <v>0.50814765547056862</v>
      </c>
      <c r="O520">
        <f>IF(orders[[#This Row],[Delivery Date]]="","",(orders[[#This Row],[Delivery Date]]-orders[[#This Row],[Date]]))</f>
        <v>1</v>
      </c>
      <c r="P520" t="str">
        <f>IF(orders[[#This Row],[delivery days]]="","Not Delivered",IF(orders[[#This Row],[delivery days]]&lt;=2,"Fast",IF(orders[[#This Row],[delivery days]]&lt;=5,"Normal","Delayed")))</f>
        <v>Fast</v>
      </c>
    </row>
    <row r="521" spans="1:16" x14ac:dyDescent="0.25">
      <c r="A521" t="s">
        <v>657</v>
      </c>
      <c r="B521" s="5">
        <v>45856</v>
      </c>
      <c r="C521" t="s">
        <v>142</v>
      </c>
      <c r="D521" t="s">
        <v>38</v>
      </c>
      <c r="E521" t="s">
        <v>39</v>
      </c>
      <c r="F521">
        <v>1</v>
      </c>
      <c r="G521" s="1">
        <v>782</v>
      </c>
      <c r="H521" s="1">
        <v>622.20000000000005</v>
      </c>
      <c r="I521" s="5"/>
      <c r="J521" t="s">
        <v>101</v>
      </c>
      <c r="K521" t="s">
        <v>35</v>
      </c>
      <c r="L521" t="s">
        <v>103</v>
      </c>
      <c r="M521" s="1">
        <f>(orders[[#This Row],[Revenue]]-orders[[#This Row],[Cost]])</f>
        <v>159.79999999999995</v>
      </c>
      <c r="N521" s="8">
        <f>IFERROR(orders[[#This Row],[profit]]/orders[[#This Row],[Revenue]],0)</f>
        <v>0.20434782608695645</v>
      </c>
      <c r="O521" t="str">
        <f>IF(orders[[#This Row],[Delivery Date]]="","",(orders[[#This Row],[Delivery Date]]-orders[[#This Row],[Date]]))</f>
        <v/>
      </c>
      <c r="P521" t="str">
        <f>IF(orders[[#This Row],[delivery days]]="","Not Delivered",IF(orders[[#This Row],[delivery days]]&lt;=2,"Fast",IF(orders[[#This Row],[delivery days]]&lt;=5,"Normal","Delayed")))</f>
        <v>Not Delivered</v>
      </c>
    </row>
    <row r="522" spans="1:16" x14ac:dyDescent="0.25">
      <c r="A522" t="s">
        <v>658</v>
      </c>
      <c r="B522" s="5">
        <v>45856</v>
      </c>
      <c r="C522" t="s">
        <v>90</v>
      </c>
      <c r="D522" t="s">
        <v>45</v>
      </c>
      <c r="E522" t="s">
        <v>34</v>
      </c>
      <c r="F522">
        <v>2</v>
      </c>
      <c r="G522" s="1">
        <v>148.32</v>
      </c>
      <c r="H522" s="1">
        <v>63.24</v>
      </c>
      <c r="I522" s="5">
        <v>45859</v>
      </c>
      <c r="J522" t="s">
        <v>101</v>
      </c>
      <c r="K522" t="s">
        <v>47</v>
      </c>
      <c r="L522" t="s">
        <v>25</v>
      </c>
      <c r="M522" s="1">
        <f>(orders[[#This Row],[Revenue]]-orders[[#This Row],[Cost]])</f>
        <v>85.079999999999984</v>
      </c>
      <c r="N522" s="8">
        <f>IFERROR(orders[[#This Row],[profit]]/orders[[#This Row],[Revenue]],0)</f>
        <v>0.57362459546925559</v>
      </c>
      <c r="O522">
        <f>IF(orders[[#This Row],[Delivery Date]]="","",(orders[[#This Row],[Delivery Date]]-orders[[#This Row],[Date]]))</f>
        <v>3</v>
      </c>
      <c r="P522" t="str">
        <f>IF(orders[[#This Row],[delivery days]]="","Not Delivered",IF(orders[[#This Row],[delivery days]]&lt;=2,"Fast",IF(orders[[#This Row],[delivery days]]&lt;=5,"Normal","Delayed")))</f>
        <v>Normal</v>
      </c>
    </row>
    <row r="523" spans="1:16" x14ac:dyDescent="0.25">
      <c r="A523" t="s">
        <v>659</v>
      </c>
      <c r="B523" s="5">
        <v>45856</v>
      </c>
      <c r="C523" t="s">
        <v>278</v>
      </c>
      <c r="D523" t="s">
        <v>179</v>
      </c>
      <c r="E523" t="s">
        <v>34</v>
      </c>
      <c r="F523">
        <v>2</v>
      </c>
      <c r="G523" s="1">
        <v>87.3</v>
      </c>
      <c r="H523" s="1">
        <v>38</v>
      </c>
      <c r="I523" s="5"/>
      <c r="J523" t="s">
        <v>30</v>
      </c>
      <c r="K523" t="s">
        <v>35</v>
      </c>
      <c r="L523" t="s">
        <v>42</v>
      </c>
      <c r="M523" s="1">
        <f>(orders[[#This Row],[Revenue]]-orders[[#This Row],[Cost]])</f>
        <v>49.3</v>
      </c>
      <c r="N523" s="8">
        <f>IFERROR(orders[[#This Row],[profit]]/orders[[#This Row],[Revenue]],0)</f>
        <v>0.56471935853379152</v>
      </c>
      <c r="O523" t="str">
        <f>IF(orders[[#This Row],[Delivery Date]]="","",(orders[[#This Row],[Delivery Date]]-orders[[#This Row],[Date]]))</f>
        <v/>
      </c>
      <c r="P523" t="str">
        <f>IF(orders[[#This Row],[delivery days]]="","Not Delivered",IF(orders[[#This Row],[delivery days]]&lt;=2,"Fast",IF(orders[[#This Row],[delivery days]]&lt;=5,"Normal","Delayed")))</f>
        <v>Not Delivered</v>
      </c>
    </row>
    <row r="524" spans="1:16" x14ac:dyDescent="0.25">
      <c r="A524" t="s">
        <v>660</v>
      </c>
      <c r="B524" s="5">
        <v>45856</v>
      </c>
      <c r="C524" t="s">
        <v>116</v>
      </c>
      <c r="D524" t="s">
        <v>45</v>
      </c>
      <c r="E524" t="s">
        <v>34</v>
      </c>
      <c r="F524">
        <v>2</v>
      </c>
      <c r="G524" s="1">
        <v>148.32</v>
      </c>
      <c r="H524" s="1">
        <v>63.24</v>
      </c>
      <c r="I524" s="5">
        <v>45859</v>
      </c>
      <c r="J524" t="s">
        <v>46</v>
      </c>
      <c r="K524" t="s">
        <v>24</v>
      </c>
      <c r="L524" t="s">
        <v>25</v>
      </c>
      <c r="M524" s="1">
        <f>(orders[[#This Row],[Revenue]]-orders[[#This Row],[Cost]])</f>
        <v>85.079999999999984</v>
      </c>
      <c r="N524" s="8">
        <f>IFERROR(orders[[#This Row],[profit]]/orders[[#This Row],[Revenue]],0)</f>
        <v>0.57362459546925559</v>
      </c>
      <c r="O524">
        <f>IF(orders[[#This Row],[Delivery Date]]="","",(orders[[#This Row],[Delivery Date]]-orders[[#This Row],[Date]]))</f>
        <v>3</v>
      </c>
      <c r="P524" t="str">
        <f>IF(orders[[#This Row],[delivery days]]="","Not Delivered",IF(orders[[#This Row],[delivery days]]&lt;=2,"Fast",IF(orders[[#This Row],[delivery days]]&lt;=5,"Normal","Delayed")))</f>
        <v>Normal</v>
      </c>
    </row>
    <row r="525" spans="1:16" x14ac:dyDescent="0.25">
      <c r="A525" t="s">
        <v>661</v>
      </c>
      <c r="B525" s="5">
        <v>45856</v>
      </c>
      <c r="C525" t="s">
        <v>243</v>
      </c>
      <c r="D525" t="s">
        <v>14</v>
      </c>
      <c r="E525" t="s">
        <v>15</v>
      </c>
      <c r="F525">
        <v>2</v>
      </c>
      <c r="G525" s="1">
        <v>50</v>
      </c>
      <c r="H525" s="1">
        <v>18</v>
      </c>
      <c r="I525" s="5">
        <v>45859</v>
      </c>
      <c r="J525" t="s">
        <v>101</v>
      </c>
      <c r="K525" t="s">
        <v>47</v>
      </c>
      <c r="L525" t="s">
        <v>25</v>
      </c>
      <c r="M525" s="1">
        <f>(orders[[#This Row],[Revenue]]-orders[[#This Row],[Cost]])</f>
        <v>32</v>
      </c>
      <c r="N525" s="8">
        <f>IFERROR(orders[[#This Row],[profit]]/orders[[#This Row],[Revenue]],0)</f>
        <v>0.64</v>
      </c>
      <c r="O525">
        <f>IF(orders[[#This Row],[Delivery Date]]="","",(orders[[#This Row],[Delivery Date]]-orders[[#This Row],[Date]]))</f>
        <v>3</v>
      </c>
      <c r="P525" t="str">
        <f>IF(orders[[#This Row],[delivery days]]="","Not Delivered",IF(orders[[#This Row],[delivery days]]&lt;=2,"Fast",IF(orders[[#This Row],[delivery days]]&lt;=5,"Normal","Delayed")))</f>
        <v>Normal</v>
      </c>
    </row>
    <row r="526" spans="1:16" x14ac:dyDescent="0.25">
      <c r="A526" t="s">
        <v>662</v>
      </c>
      <c r="B526" s="5">
        <v>45856</v>
      </c>
      <c r="C526" t="s">
        <v>82</v>
      </c>
      <c r="D526" t="s">
        <v>208</v>
      </c>
      <c r="E526" t="s">
        <v>15</v>
      </c>
      <c r="F526">
        <v>1</v>
      </c>
      <c r="G526" s="1">
        <v>140.4</v>
      </c>
      <c r="H526" s="1">
        <v>77.52</v>
      </c>
      <c r="I526" s="5">
        <v>45861</v>
      </c>
      <c r="J526" t="s">
        <v>46</v>
      </c>
      <c r="K526" t="s">
        <v>24</v>
      </c>
      <c r="L526" t="s">
        <v>25</v>
      </c>
      <c r="M526" s="1">
        <f>(orders[[#This Row],[Revenue]]-orders[[#This Row],[Cost]])</f>
        <v>62.88000000000001</v>
      </c>
      <c r="N526" s="8">
        <f>IFERROR(orders[[#This Row],[profit]]/orders[[#This Row],[Revenue]],0)</f>
        <v>0.44786324786324794</v>
      </c>
      <c r="O526">
        <f>IF(orders[[#This Row],[Delivery Date]]="","",(orders[[#This Row],[Delivery Date]]-orders[[#This Row],[Date]]))</f>
        <v>5</v>
      </c>
      <c r="P526" t="str">
        <f>IF(orders[[#This Row],[delivery days]]="","Not Delivered",IF(orders[[#This Row],[delivery days]]&lt;=2,"Fast",IF(orders[[#This Row],[delivery days]]&lt;=5,"Normal","Delayed")))</f>
        <v>Normal</v>
      </c>
    </row>
    <row r="527" spans="1:16" x14ac:dyDescent="0.25">
      <c r="A527" t="s">
        <v>663</v>
      </c>
      <c r="B527" s="5">
        <v>45857</v>
      </c>
      <c r="C527" t="s">
        <v>96</v>
      </c>
      <c r="D527" t="s">
        <v>70</v>
      </c>
      <c r="E527" t="s">
        <v>62</v>
      </c>
      <c r="F527">
        <v>3</v>
      </c>
      <c r="G527" s="1">
        <v>405</v>
      </c>
      <c r="H527" s="1">
        <v>234</v>
      </c>
      <c r="I527" s="5">
        <v>45858</v>
      </c>
      <c r="J527" t="s">
        <v>46</v>
      </c>
      <c r="K527" t="s">
        <v>24</v>
      </c>
      <c r="L527" t="s">
        <v>25</v>
      </c>
      <c r="M527" s="1">
        <f>(orders[[#This Row],[Revenue]]-orders[[#This Row],[Cost]])</f>
        <v>171</v>
      </c>
      <c r="N527" s="8">
        <f>IFERROR(orders[[#This Row],[profit]]/orders[[#This Row],[Revenue]],0)</f>
        <v>0.42222222222222222</v>
      </c>
      <c r="O527">
        <f>IF(orders[[#This Row],[Delivery Date]]="","",(orders[[#This Row],[Delivery Date]]-orders[[#This Row],[Date]]))</f>
        <v>1</v>
      </c>
      <c r="P527" t="str">
        <f>IF(orders[[#This Row],[delivery days]]="","Not Delivered",IF(orders[[#This Row],[delivery days]]&lt;=2,"Fast",IF(orders[[#This Row],[delivery days]]&lt;=5,"Normal","Delayed")))</f>
        <v>Fast</v>
      </c>
    </row>
    <row r="528" spans="1:16" x14ac:dyDescent="0.25">
      <c r="A528" t="s">
        <v>664</v>
      </c>
      <c r="B528" s="5">
        <v>45858</v>
      </c>
      <c r="C528" t="s">
        <v>210</v>
      </c>
      <c r="D528" t="s">
        <v>270</v>
      </c>
      <c r="E528" t="s">
        <v>39</v>
      </c>
      <c r="F528">
        <v>1</v>
      </c>
      <c r="G528" s="1">
        <v>45</v>
      </c>
      <c r="H528" s="1">
        <v>22</v>
      </c>
      <c r="I528" s="5">
        <v>45862</v>
      </c>
      <c r="J528" t="s">
        <v>101</v>
      </c>
      <c r="K528" t="s">
        <v>35</v>
      </c>
      <c r="L528" t="s">
        <v>25</v>
      </c>
      <c r="M528" s="1">
        <f>(orders[[#This Row],[Revenue]]-orders[[#This Row],[Cost]])</f>
        <v>23</v>
      </c>
      <c r="N528" s="8">
        <f>IFERROR(orders[[#This Row],[profit]]/orders[[#This Row],[Revenue]],0)</f>
        <v>0.51111111111111107</v>
      </c>
      <c r="O528">
        <f>IF(orders[[#This Row],[Delivery Date]]="","",(orders[[#This Row],[Delivery Date]]-orders[[#This Row],[Date]]))</f>
        <v>4</v>
      </c>
      <c r="P528" t="str">
        <f>IF(orders[[#This Row],[delivery days]]="","Not Delivered",IF(orders[[#This Row],[delivery days]]&lt;=2,"Fast",IF(orders[[#This Row],[delivery days]]&lt;=5,"Normal","Delayed")))</f>
        <v>Normal</v>
      </c>
    </row>
    <row r="529" spans="1:16" x14ac:dyDescent="0.25">
      <c r="A529" t="s">
        <v>665</v>
      </c>
      <c r="B529" s="5">
        <v>45858</v>
      </c>
      <c r="C529" t="s">
        <v>54</v>
      </c>
      <c r="D529" t="s">
        <v>28</v>
      </c>
      <c r="E529" t="s">
        <v>29</v>
      </c>
      <c r="F529">
        <v>3</v>
      </c>
      <c r="G529" s="1">
        <v>74.16</v>
      </c>
      <c r="H529" s="1">
        <v>27</v>
      </c>
      <c r="I529" s="5">
        <v>45862</v>
      </c>
      <c r="J529" t="s">
        <v>23</v>
      </c>
      <c r="K529" t="s">
        <v>17</v>
      </c>
      <c r="L529" t="s">
        <v>18</v>
      </c>
      <c r="M529" s="1">
        <f>(orders[[#This Row],[Revenue]]-orders[[#This Row],[Cost]])</f>
        <v>47.16</v>
      </c>
      <c r="N529" s="8">
        <f>IFERROR(orders[[#This Row],[profit]]/orders[[#This Row],[Revenue]],0)</f>
        <v>0.63592233009708732</v>
      </c>
      <c r="O529">
        <f>IF(orders[[#This Row],[Delivery Date]]="","",(orders[[#This Row],[Delivery Date]]-orders[[#This Row],[Date]]))</f>
        <v>4</v>
      </c>
      <c r="P529" t="str">
        <f>IF(orders[[#This Row],[delivery days]]="","Not Delivered",IF(orders[[#This Row],[delivery days]]&lt;=2,"Fast",IF(orders[[#This Row],[delivery days]]&lt;=5,"Normal","Delayed")))</f>
        <v>Normal</v>
      </c>
    </row>
    <row r="530" spans="1:16" x14ac:dyDescent="0.25">
      <c r="A530" t="s">
        <v>666</v>
      </c>
      <c r="B530" s="5">
        <v>45858</v>
      </c>
      <c r="C530" t="s">
        <v>228</v>
      </c>
      <c r="D530" t="s">
        <v>55</v>
      </c>
      <c r="E530" t="s">
        <v>39</v>
      </c>
      <c r="F530">
        <v>2</v>
      </c>
      <c r="G530" s="1">
        <v>840</v>
      </c>
      <c r="H530" s="1">
        <v>550</v>
      </c>
      <c r="I530" s="5">
        <v>45860</v>
      </c>
      <c r="J530" t="s">
        <v>30</v>
      </c>
      <c r="K530" t="s">
        <v>17</v>
      </c>
      <c r="L530" t="s">
        <v>25</v>
      </c>
      <c r="M530" s="1">
        <f>(orders[[#This Row],[Revenue]]-orders[[#This Row],[Cost]])</f>
        <v>290</v>
      </c>
      <c r="N530" s="8">
        <f>IFERROR(orders[[#This Row],[profit]]/orders[[#This Row],[Revenue]],0)</f>
        <v>0.34523809523809523</v>
      </c>
      <c r="O530">
        <f>IF(orders[[#This Row],[Delivery Date]]="","",(orders[[#This Row],[Delivery Date]]-orders[[#This Row],[Date]]))</f>
        <v>2</v>
      </c>
      <c r="P530" t="str">
        <f>IF(orders[[#This Row],[delivery days]]="","Not Delivered",IF(orders[[#This Row],[delivery days]]&lt;=2,"Fast",IF(orders[[#This Row],[delivery days]]&lt;=5,"Normal","Delayed")))</f>
        <v>Fast</v>
      </c>
    </row>
    <row r="531" spans="1:16" x14ac:dyDescent="0.25">
      <c r="A531" t="s">
        <v>667</v>
      </c>
      <c r="B531" s="5">
        <v>45858</v>
      </c>
      <c r="C531" t="s">
        <v>200</v>
      </c>
      <c r="D531" t="s">
        <v>129</v>
      </c>
      <c r="E531" t="s">
        <v>39</v>
      </c>
      <c r="F531">
        <v>1</v>
      </c>
      <c r="G531" s="1">
        <v>129.6</v>
      </c>
      <c r="H531" s="1">
        <v>68</v>
      </c>
      <c r="I531" s="5">
        <v>45861</v>
      </c>
      <c r="J531" t="s">
        <v>16</v>
      </c>
      <c r="K531" t="s">
        <v>17</v>
      </c>
      <c r="L531" t="s">
        <v>25</v>
      </c>
      <c r="M531" s="1">
        <f>(orders[[#This Row],[Revenue]]-orders[[#This Row],[Cost]])</f>
        <v>61.599999999999994</v>
      </c>
      <c r="N531" s="8">
        <f>IFERROR(orders[[#This Row],[profit]]/orders[[#This Row],[Revenue]],0)</f>
        <v>0.47530864197530864</v>
      </c>
      <c r="O531">
        <f>IF(orders[[#This Row],[Delivery Date]]="","",(orders[[#This Row],[Delivery Date]]-orders[[#This Row],[Date]]))</f>
        <v>3</v>
      </c>
      <c r="P531" t="str">
        <f>IF(orders[[#This Row],[delivery days]]="","Not Delivered",IF(orders[[#This Row],[delivery days]]&lt;=2,"Fast",IF(orders[[#This Row],[delivery days]]&lt;=5,"Normal","Delayed")))</f>
        <v>Normal</v>
      </c>
    </row>
    <row r="532" spans="1:16" x14ac:dyDescent="0.25">
      <c r="A532" t="s">
        <v>668</v>
      </c>
      <c r="B532" s="5">
        <v>45858</v>
      </c>
      <c r="C532" t="s">
        <v>94</v>
      </c>
      <c r="D532" t="s">
        <v>97</v>
      </c>
      <c r="E532" t="s">
        <v>39</v>
      </c>
      <c r="F532">
        <v>1</v>
      </c>
      <c r="G532" s="1">
        <v>390</v>
      </c>
      <c r="H532" s="1">
        <v>260</v>
      </c>
      <c r="I532" s="5">
        <v>45861</v>
      </c>
      <c r="J532" t="s">
        <v>30</v>
      </c>
      <c r="K532" t="s">
        <v>17</v>
      </c>
      <c r="L532" t="s">
        <v>25</v>
      </c>
      <c r="M532" s="1">
        <f>(orders[[#This Row],[Revenue]]-orders[[#This Row],[Cost]])</f>
        <v>130</v>
      </c>
      <c r="N532" s="8">
        <f>IFERROR(orders[[#This Row],[profit]]/orders[[#This Row],[Revenue]],0)</f>
        <v>0.33333333333333331</v>
      </c>
      <c r="O532">
        <f>IF(orders[[#This Row],[Delivery Date]]="","",(orders[[#This Row],[Delivery Date]]-orders[[#This Row],[Date]]))</f>
        <v>3</v>
      </c>
      <c r="P532" t="str">
        <f>IF(orders[[#This Row],[delivery days]]="","Not Delivered",IF(orders[[#This Row],[delivery days]]&lt;=2,"Fast",IF(orders[[#This Row],[delivery days]]&lt;=5,"Normal","Delayed")))</f>
        <v>Normal</v>
      </c>
    </row>
    <row r="533" spans="1:16" x14ac:dyDescent="0.25">
      <c r="A533" t="s">
        <v>669</v>
      </c>
      <c r="B533" s="5">
        <v>45859</v>
      </c>
      <c r="C533" t="s">
        <v>64</v>
      </c>
      <c r="D533" t="s">
        <v>208</v>
      </c>
      <c r="E533" t="s">
        <v>15</v>
      </c>
      <c r="F533">
        <v>1</v>
      </c>
      <c r="G533" s="1">
        <v>119.6</v>
      </c>
      <c r="H533" s="1">
        <v>76</v>
      </c>
      <c r="I533" s="5">
        <v>45861</v>
      </c>
      <c r="J533" t="s">
        <v>30</v>
      </c>
      <c r="K533" t="s">
        <v>17</v>
      </c>
      <c r="L533" t="s">
        <v>25</v>
      </c>
      <c r="M533" s="1">
        <f>(orders[[#This Row],[Revenue]]-orders[[#This Row],[Cost]])</f>
        <v>43.599999999999994</v>
      </c>
      <c r="N533" s="8">
        <f>IFERROR(orders[[#This Row],[profit]]/orders[[#This Row],[Revenue]],0)</f>
        <v>0.36454849498327757</v>
      </c>
      <c r="O533">
        <f>IF(orders[[#This Row],[Delivery Date]]="","",(orders[[#This Row],[Delivery Date]]-orders[[#This Row],[Date]]))</f>
        <v>2</v>
      </c>
      <c r="P533" t="str">
        <f>IF(orders[[#This Row],[delivery days]]="","Not Delivered",IF(orders[[#This Row],[delivery days]]&lt;=2,"Fast",IF(orders[[#This Row],[delivery days]]&lt;=5,"Normal","Delayed")))</f>
        <v>Fast</v>
      </c>
    </row>
    <row r="534" spans="1:16" x14ac:dyDescent="0.25">
      <c r="A534" t="s">
        <v>670</v>
      </c>
      <c r="B534" s="5">
        <v>45859</v>
      </c>
      <c r="C534" t="s">
        <v>149</v>
      </c>
      <c r="D534" t="s">
        <v>55</v>
      </c>
      <c r="E534" t="s">
        <v>39</v>
      </c>
      <c r="F534">
        <v>3</v>
      </c>
      <c r="G534" s="1">
        <v>1222.2</v>
      </c>
      <c r="H534" s="1">
        <v>825</v>
      </c>
      <c r="I534" s="5">
        <v>45861</v>
      </c>
      <c r="J534" t="s">
        <v>23</v>
      </c>
      <c r="K534" t="s">
        <v>24</v>
      </c>
      <c r="L534" t="s">
        <v>25</v>
      </c>
      <c r="M534" s="1">
        <f>(orders[[#This Row],[Revenue]]-orders[[#This Row],[Cost]])</f>
        <v>397.20000000000005</v>
      </c>
      <c r="N534" s="8">
        <f>IFERROR(orders[[#This Row],[profit]]/orders[[#This Row],[Revenue]],0)</f>
        <v>0.32498772704958273</v>
      </c>
      <c r="O534">
        <f>IF(orders[[#This Row],[Delivery Date]]="","",(orders[[#This Row],[Delivery Date]]-orders[[#This Row],[Date]]))</f>
        <v>2</v>
      </c>
      <c r="P534" t="str">
        <f>IF(orders[[#This Row],[delivery days]]="","Not Delivered",IF(orders[[#This Row],[delivery days]]&lt;=2,"Fast",IF(orders[[#This Row],[delivery days]]&lt;=5,"Normal","Delayed")))</f>
        <v>Fast</v>
      </c>
    </row>
    <row r="535" spans="1:16" x14ac:dyDescent="0.25">
      <c r="A535" t="s">
        <v>671</v>
      </c>
      <c r="B535" s="5">
        <v>45859</v>
      </c>
      <c r="C535" t="s">
        <v>155</v>
      </c>
      <c r="D535" t="s">
        <v>270</v>
      </c>
      <c r="E535" t="s">
        <v>39</v>
      </c>
      <c r="F535">
        <v>3</v>
      </c>
      <c r="G535" s="1">
        <v>130.94999999999999</v>
      </c>
      <c r="H535" s="1">
        <v>66</v>
      </c>
      <c r="I535" s="5">
        <v>45862</v>
      </c>
      <c r="J535" t="s">
        <v>30</v>
      </c>
      <c r="K535" t="s">
        <v>17</v>
      </c>
      <c r="L535" t="s">
        <v>25</v>
      </c>
      <c r="M535" s="1">
        <f>(orders[[#This Row],[Revenue]]-orders[[#This Row],[Cost]])</f>
        <v>64.949999999999989</v>
      </c>
      <c r="N535" s="8">
        <f>IFERROR(orders[[#This Row],[profit]]/orders[[#This Row],[Revenue]],0)</f>
        <v>0.49599083619702172</v>
      </c>
      <c r="O535">
        <f>IF(orders[[#This Row],[Delivery Date]]="","",(orders[[#This Row],[Delivery Date]]-orders[[#This Row],[Date]]))</f>
        <v>3</v>
      </c>
      <c r="P535" t="str">
        <f>IF(orders[[#This Row],[delivery days]]="","Not Delivered",IF(orders[[#This Row],[delivery days]]&lt;=2,"Fast",IF(orders[[#This Row],[delivery days]]&lt;=5,"Normal","Delayed")))</f>
        <v>Normal</v>
      </c>
    </row>
    <row r="536" spans="1:16" x14ac:dyDescent="0.25">
      <c r="A536" t="s">
        <v>672</v>
      </c>
      <c r="B536" s="5">
        <v>45859</v>
      </c>
      <c r="C536" t="s">
        <v>278</v>
      </c>
      <c r="D536" t="s">
        <v>97</v>
      </c>
      <c r="E536" t="s">
        <v>39</v>
      </c>
      <c r="F536">
        <v>1</v>
      </c>
      <c r="G536" s="1">
        <v>390</v>
      </c>
      <c r="H536" s="1">
        <v>260</v>
      </c>
      <c r="I536" s="5">
        <v>45863</v>
      </c>
      <c r="J536" t="s">
        <v>16</v>
      </c>
      <c r="K536" t="s">
        <v>17</v>
      </c>
      <c r="L536" t="s">
        <v>25</v>
      </c>
      <c r="M536" s="1">
        <f>(orders[[#This Row],[Revenue]]-orders[[#This Row],[Cost]])</f>
        <v>130</v>
      </c>
      <c r="N536" s="8">
        <f>IFERROR(orders[[#This Row],[profit]]/orders[[#This Row],[Revenue]],0)</f>
        <v>0.33333333333333331</v>
      </c>
      <c r="O536">
        <f>IF(orders[[#This Row],[Delivery Date]]="","",(orders[[#This Row],[Delivery Date]]-orders[[#This Row],[Date]]))</f>
        <v>4</v>
      </c>
      <c r="P536" t="str">
        <f>IF(orders[[#This Row],[delivery days]]="","Not Delivered",IF(orders[[#This Row],[delivery days]]&lt;=2,"Fast",IF(orders[[#This Row],[delivery days]]&lt;=5,"Normal","Delayed")))</f>
        <v>Normal</v>
      </c>
    </row>
    <row r="537" spans="1:16" x14ac:dyDescent="0.25">
      <c r="A537" t="s">
        <v>673</v>
      </c>
      <c r="B537" s="5">
        <v>45859</v>
      </c>
      <c r="C537" t="s">
        <v>149</v>
      </c>
      <c r="D537" t="s">
        <v>308</v>
      </c>
      <c r="E537" t="s">
        <v>22</v>
      </c>
      <c r="F537">
        <v>1</v>
      </c>
      <c r="G537" s="1">
        <v>75</v>
      </c>
      <c r="H537" s="1">
        <v>34</v>
      </c>
      <c r="I537" s="5">
        <v>45862</v>
      </c>
      <c r="J537" t="s">
        <v>46</v>
      </c>
      <c r="K537" t="s">
        <v>24</v>
      </c>
      <c r="L537" t="s">
        <v>25</v>
      </c>
      <c r="M537" s="1">
        <f>(orders[[#This Row],[Revenue]]-orders[[#This Row],[Cost]])</f>
        <v>41</v>
      </c>
      <c r="N537" s="8">
        <f>IFERROR(orders[[#This Row],[profit]]/orders[[#This Row],[Revenue]],0)</f>
        <v>0.54666666666666663</v>
      </c>
      <c r="O537">
        <f>IF(orders[[#This Row],[Delivery Date]]="","",(orders[[#This Row],[Delivery Date]]-orders[[#This Row],[Date]]))</f>
        <v>3</v>
      </c>
      <c r="P537" t="str">
        <f>IF(orders[[#This Row],[delivery days]]="","Not Delivered",IF(orders[[#This Row],[delivery days]]&lt;=2,"Fast",IF(orders[[#This Row],[delivery days]]&lt;=5,"Normal","Delayed")))</f>
        <v>Normal</v>
      </c>
    </row>
    <row r="538" spans="1:16" x14ac:dyDescent="0.25">
      <c r="A538" t="s">
        <v>674</v>
      </c>
      <c r="B538" s="5">
        <v>45860</v>
      </c>
      <c r="C538" t="s">
        <v>37</v>
      </c>
      <c r="D538" t="s">
        <v>51</v>
      </c>
      <c r="E538" t="s">
        <v>34</v>
      </c>
      <c r="F538">
        <v>3</v>
      </c>
      <c r="G538" s="1">
        <v>247.35</v>
      </c>
      <c r="H538" s="1">
        <v>126</v>
      </c>
      <c r="I538" s="5">
        <v>45863</v>
      </c>
      <c r="J538" t="s">
        <v>46</v>
      </c>
      <c r="K538" t="s">
        <v>47</v>
      </c>
      <c r="L538" t="s">
        <v>25</v>
      </c>
      <c r="M538" s="1">
        <f>(orders[[#This Row],[Revenue]]-orders[[#This Row],[Cost]])</f>
        <v>121.35</v>
      </c>
      <c r="N538" s="8">
        <f>IFERROR(orders[[#This Row],[profit]]/orders[[#This Row],[Revenue]],0)</f>
        <v>0.49060036385688294</v>
      </c>
      <c r="O538">
        <f>IF(orders[[#This Row],[Delivery Date]]="","",(orders[[#This Row],[Delivery Date]]-orders[[#This Row],[Date]]))</f>
        <v>3</v>
      </c>
      <c r="P538" t="str">
        <f>IF(orders[[#This Row],[delivery days]]="","Not Delivered",IF(orders[[#This Row],[delivery days]]&lt;=2,"Fast",IF(orders[[#This Row],[delivery days]]&lt;=5,"Normal","Delayed")))</f>
        <v>Normal</v>
      </c>
    </row>
    <row r="539" spans="1:16" x14ac:dyDescent="0.25">
      <c r="A539" t="s">
        <v>675</v>
      </c>
      <c r="B539" s="5">
        <v>45861</v>
      </c>
      <c r="C539" t="s">
        <v>79</v>
      </c>
      <c r="D539" t="s">
        <v>108</v>
      </c>
      <c r="E539" t="s">
        <v>22</v>
      </c>
      <c r="F539">
        <v>3</v>
      </c>
      <c r="G539" s="1">
        <v>293.55</v>
      </c>
      <c r="H539" s="1">
        <v>126</v>
      </c>
      <c r="I539" s="5">
        <v>45863</v>
      </c>
      <c r="J539" t="s">
        <v>30</v>
      </c>
      <c r="K539" t="s">
        <v>17</v>
      </c>
      <c r="L539" t="s">
        <v>25</v>
      </c>
      <c r="M539" s="1">
        <f>(orders[[#This Row],[Revenue]]-orders[[#This Row],[Cost]])</f>
        <v>167.55</v>
      </c>
      <c r="N539" s="8">
        <f>IFERROR(orders[[#This Row],[profit]]/orders[[#This Row],[Revenue]],0)</f>
        <v>0.57077158916709247</v>
      </c>
      <c r="O539">
        <f>IF(orders[[#This Row],[Delivery Date]]="","",(orders[[#This Row],[Delivery Date]]-orders[[#This Row],[Date]]))</f>
        <v>2</v>
      </c>
      <c r="P539" t="str">
        <f>IF(orders[[#This Row],[delivery days]]="","Not Delivered",IF(orders[[#This Row],[delivery days]]&lt;=2,"Fast",IF(orders[[#This Row],[delivery days]]&lt;=5,"Normal","Delayed")))</f>
        <v>Fast</v>
      </c>
    </row>
    <row r="540" spans="1:16" x14ac:dyDescent="0.25">
      <c r="A540" t="s">
        <v>676</v>
      </c>
      <c r="B540" s="5">
        <v>45861</v>
      </c>
      <c r="C540" t="s">
        <v>112</v>
      </c>
      <c r="D540" t="s">
        <v>33</v>
      </c>
      <c r="E540" t="s">
        <v>34</v>
      </c>
      <c r="F540">
        <v>1</v>
      </c>
      <c r="G540" s="1">
        <v>58</v>
      </c>
      <c r="H540" s="1">
        <v>25</v>
      </c>
      <c r="I540" s="5"/>
      <c r="J540" t="s">
        <v>101</v>
      </c>
      <c r="K540" t="s">
        <v>47</v>
      </c>
      <c r="L540" t="s">
        <v>42</v>
      </c>
      <c r="M540" s="1">
        <f>(orders[[#This Row],[Revenue]]-orders[[#This Row],[Cost]])</f>
        <v>33</v>
      </c>
      <c r="N540" s="8">
        <f>IFERROR(orders[[#This Row],[profit]]/orders[[#This Row],[Revenue]],0)</f>
        <v>0.56896551724137934</v>
      </c>
      <c r="O540" t="str">
        <f>IF(orders[[#This Row],[Delivery Date]]="","",(orders[[#This Row],[Delivery Date]]-orders[[#This Row],[Date]]))</f>
        <v/>
      </c>
      <c r="P540" t="str">
        <f>IF(orders[[#This Row],[delivery days]]="","Not Delivered",IF(orders[[#This Row],[delivery days]]&lt;=2,"Fast",IF(orders[[#This Row],[delivery days]]&lt;=5,"Normal","Delayed")))</f>
        <v>Not Delivered</v>
      </c>
    </row>
    <row r="541" spans="1:16" x14ac:dyDescent="0.25">
      <c r="A541" t="s">
        <v>677</v>
      </c>
      <c r="B541" s="5">
        <v>45861</v>
      </c>
      <c r="C541" t="s">
        <v>487</v>
      </c>
      <c r="D541" t="s">
        <v>100</v>
      </c>
      <c r="E541" t="s">
        <v>34</v>
      </c>
      <c r="F541">
        <v>1</v>
      </c>
      <c r="G541" s="1">
        <v>53.56</v>
      </c>
      <c r="H541" s="1">
        <v>23.46</v>
      </c>
      <c r="I541" s="5">
        <v>45862</v>
      </c>
      <c r="J541" t="s">
        <v>30</v>
      </c>
      <c r="K541" t="s">
        <v>35</v>
      </c>
      <c r="L541" t="s">
        <v>25</v>
      </c>
      <c r="M541" s="1">
        <f>(orders[[#This Row],[Revenue]]-orders[[#This Row],[Cost]])</f>
        <v>30.1</v>
      </c>
      <c r="N541" s="8">
        <f>IFERROR(orders[[#This Row],[profit]]/orders[[#This Row],[Revenue]],0)</f>
        <v>0.56198655713218826</v>
      </c>
      <c r="O541">
        <f>IF(orders[[#This Row],[Delivery Date]]="","",(orders[[#This Row],[Delivery Date]]-orders[[#This Row],[Date]]))</f>
        <v>1</v>
      </c>
      <c r="P541" t="str">
        <f>IF(orders[[#This Row],[delivery days]]="","Not Delivered",IF(orders[[#This Row],[delivery days]]&lt;=2,"Fast",IF(orders[[#This Row],[delivery days]]&lt;=5,"Normal","Delayed")))</f>
        <v>Fast</v>
      </c>
    </row>
    <row r="542" spans="1:16" x14ac:dyDescent="0.25">
      <c r="A542" t="s">
        <v>678</v>
      </c>
      <c r="B542" s="5">
        <v>45861</v>
      </c>
      <c r="C542" t="s">
        <v>92</v>
      </c>
      <c r="D542" t="s">
        <v>187</v>
      </c>
      <c r="E542" t="s">
        <v>15</v>
      </c>
      <c r="F542">
        <v>1</v>
      </c>
      <c r="G542" s="1">
        <v>32.200000000000003</v>
      </c>
      <c r="H542" s="1">
        <v>16</v>
      </c>
      <c r="I542" s="5">
        <v>45862</v>
      </c>
      <c r="J542" t="s">
        <v>46</v>
      </c>
      <c r="K542" t="s">
        <v>47</v>
      </c>
      <c r="L542" t="s">
        <v>25</v>
      </c>
      <c r="M542" s="1">
        <f>(orders[[#This Row],[Revenue]]-orders[[#This Row],[Cost]])</f>
        <v>16.200000000000003</v>
      </c>
      <c r="N542" s="8">
        <f>IFERROR(orders[[#This Row],[profit]]/orders[[#This Row],[Revenue]],0)</f>
        <v>0.50310559006211186</v>
      </c>
      <c r="O542">
        <f>IF(orders[[#This Row],[Delivery Date]]="","",(orders[[#This Row],[Delivery Date]]-orders[[#This Row],[Date]]))</f>
        <v>1</v>
      </c>
      <c r="P542" t="str">
        <f>IF(orders[[#This Row],[delivery days]]="","Not Delivered",IF(orders[[#This Row],[delivery days]]&lt;=2,"Fast",IF(orders[[#This Row],[delivery days]]&lt;=5,"Normal","Delayed")))</f>
        <v>Fast</v>
      </c>
    </row>
    <row r="543" spans="1:16" x14ac:dyDescent="0.25">
      <c r="A543" t="s">
        <v>679</v>
      </c>
      <c r="B543" s="5">
        <v>45862</v>
      </c>
      <c r="C543" t="s">
        <v>90</v>
      </c>
      <c r="D543" t="s">
        <v>55</v>
      </c>
      <c r="E543" t="s">
        <v>39</v>
      </c>
      <c r="F543">
        <v>1</v>
      </c>
      <c r="G543" s="1">
        <v>432.6</v>
      </c>
      <c r="H543" s="1">
        <v>280.5</v>
      </c>
      <c r="I543" s="5">
        <v>45867</v>
      </c>
      <c r="J543" t="s">
        <v>16</v>
      </c>
      <c r="K543" t="s">
        <v>17</v>
      </c>
      <c r="L543" t="s">
        <v>25</v>
      </c>
      <c r="M543" s="1">
        <f>(orders[[#This Row],[Revenue]]-orders[[#This Row],[Cost]])</f>
        <v>152.10000000000002</v>
      </c>
      <c r="N543" s="8">
        <f>IFERROR(orders[[#This Row],[profit]]/orders[[#This Row],[Revenue]],0)</f>
        <v>0.35159500693481277</v>
      </c>
      <c r="O543">
        <f>IF(orders[[#This Row],[Delivery Date]]="","",(orders[[#This Row],[Delivery Date]]-orders[[#This Row],[Date]]))</f>
        <v>5</v>
      </c>
      <c r="P543" t="str">
        <f>IF(orders[[#This Row],[delivery days]]="","Not Delivered",IF(orders[[#This Row],[delivery days]]&lt;=2,"Fast",IF(orders[[#This Row],[delivery days]]&lt;=5,"Normal","Delayed")))</f>
        <v>Normal</v>
      </c>
    </row>
    <row r="544" spans="1:16" x14ac:dyDescent="0.25">
      <c r="A544" t="s">
        <v>680</v>
      </c>
      <c r="B544" s="5">
        <v>45862</v>
      </c>
      <c r="C544" t="s">
        <v>90</v>
      </c>
      <c r="D544" t="s">
        <v>97</v>
      </c>
      <c r="E544" t="s">
        <v>39</v>
      </c>
      <c r="F544">
        <v>2</v>
      </c>
      <c r="G544" s="1">
        <v>756.6</v>
      </c>
      <c r="H544" s="1">
        <v>520</v>
      </c>
      <c r="I544" s="5"/>
      <c r="J544" t="s">
        <v>23</v>
      </c>
      <c r="K544" t="s">
        <v>24</v>
      </c>
      <c r="L544" t="s">
        <v>103</v>
      </c>
      <c r="M544" s="1">
        <f>(orders[[#This Row],[Revenue]]-orders[[#This Row],[Cost]])</f>
        <v>236.60000000000002</v>
      </c>
      <c r="N544" s="8">
        <f>IFERROR(orders[[#This Row],[profit]]/orders[[#This Row],[Revenue]],0)</f>
        <v>0.3127147766323024</v>
      </c>
      <c r="O544" t="str">
        <f>IF(orders[[#This Row],[Delivery Date]]="","",(orders[[#This Row],[Delivery Date]]-orders[[#This Row],[Date]]))</f>
        <v/>
      </c>
      <c r="P544" t="str">
        <f>IF(orders[[#This Row],[delivery days]]="","Not Delivered",IF(orders[[#This Row],[delivery days]]&lt;=2,"Fast",IF(orders[[#This Row],[delivery days]]&lt;=5,"Normal","Delayed")))</f>
        <v>Not Delivered</v>
      </c>
    </row>
    <row r="545" spans="1:16" x14ac:dyDescent="0.25">
      <c r="A545" t="s">
        <v>681</v>
      </c>
      <c r="B545" s="5">
        <v>45862</v>
      </c>
      <c r="C545" t="s">
        <v>13</v>
      </c>
      <c r="D545" t="s">
        <v>208</v>
      </c>
      <c r="E545" t="s">
        <v>15</v>
      </c>
      <c r="F545">
        <v>2</v>
      </c>
      <c r="G545" s="1">
        <v>239.2</v>
      </c>
      <c r="H545" s="1">
        <v>152</v>
      </c>
      <c r="I545" s="5">
        <v>45865</v>
      </c>
      <c r="J545" t="s">
        <v>46</v>
      </c>
      <c r="K545" t="s">
        <v>24</v>
      </c>
      <c r="L545" t="s">
        <v>25</v>
      </c>
      <c r="M545" s="1">
        <f>(orders[[#This Row],[Revenue]]-orders[[#This Row],[Cost]])</f>
        <v>87.199999999999989</v>
      </c>
      <c r="N545" s="8">
        <f>IFERROR(orders[[#This Row],[profit]]/orders[[#This Row],[Revenue]],0)</f>
        <v>0.36454849498327757</v>
      </c>
      <c r="O545">
        <f>IF(orders[[#This Row],[Delivery Date]]="","",(orders[[#This Row],[Delivery Date]]-orders[[#This Row],[Date]]))</f>
        <v>3</v>
      </c>
      <c r="P545" t="str">
        <f>IF(orders[[#This Row],[delivery days]]="","Not Delivered",IF(orders[[#This Row],[delivery days]]&lt;=2,"Fast",IF(orders[[#This Row],[delivery days]]&lt;=5,"Normal","Delayed")))</f>
        <v>Normal</v>
      </c>
    </row>
    <row r="546" spans="1:16" x14ac:dyDescent="0.25">
      <c r="A546" t="s">
        <v>682</v>
      </c>
      <c r="B546" s="5">
        <v>45862</v>
      </c>
      <c r="C546" t="s">
        <v>191</v>
      </c>
      <c r="D546" t="s">
        <v>86</v>
      </c>
      <c r="E546" t="s">
        <v>29</v>
      </c>
      <c r="F546">
        <v>2</v>
      </c>
      <c r="G546" s="1">
        <v>53.36</v>
      </c>
      <c r="H546" s="1">
        <v>24</v>
      </c>
      <c r="I546" s="5">
        <v>45864</v>
      </c>
      <c r="J546" t="s">
        <v>30</v>
      </c>
      <c r="K546" t="s">
        <v>35</v>
      </c>
      <c r="L546" t="s">
        <v>25</v>
      </c>
      <c r="M546" s="1">
        <f>(orders[[#This Row],[Revenue]]-orders[[#This Row],[Cost]])</f>
        <v>29.36</v>
      </c>
      <c r="N546" s="8">
        <f>IFERROR(orders[[#This Row],[profit]]/orders[[#This Row],[Revenue]],0)</f>
        <v>0.5502248875562219</v>
      </c>
      <c r="O546">
        <f>IF(orders[[#This Row],[Delivery Date]]="","",(orders[[#This Row],[Delivery Date]]-orders[[#This Row],[Date]]))</f>
        <v>2</v>
      </c>
      <c r="P546" t="str">
        <f>IF(orders[[#This Row],[delivery days]]="","Not Delivered",IF(orders[[#This Row],[delivery days]]&lt;=2,"Fast",IF(orders[[#This Row],[delivery days]]&lt;=5,"Normal","Delayed")))</f>
        <v>Fast</v>
      </c>
    </row>
    <row r="547" spans="1:16" x14ac:dyDescent="0.25">
      <c r="A547" t="s">
        <v>683</v>
      </c>
      <c r="B547" s="5">
        <v>45862</v>
      </c>
      <c r="C547" t="s">
        <v>259</v>
      </c>
      <c r="D547" t="s">
        <v>127</v>
      </c>
      <c r="E547" t="s">
        <v>29</v>
      </c>
      <c r="F547">
        <v>2</v>
      </c>
      <c r="G547" s="1">
        <v>36</v>
      </c>
      <c r="H547" s="1">
        <v>12</v>
      </c>
      <c r="I547" s="5">
        <v>45863</v>
      </c>
      <c r="J547" t="s">
        <v>46</v>
      </c>
      <c r="K547" t="s">
        <v>47</v>
      </c>
      <c r="L547" t="s">
        <v>25</v>
      </c>
      <c r="M547" s="1">
        <f>(orders[[#This Row],[Revenue]]-orders[[#This Row],[Cost]])</f>
        <v>24</v>
      </c>
      <c r="N547" s="8">
        <f>IFERROR(orders[[#This Row],[profit]]/orders[[#This Row],[Revenue]],0)</f>
        <v>0.66666666666666663</v>
      </c>
      <c r="O547">
        <f>IF(orders[[#This Row],[Delivery Date]]="","",(orders[[#This Row],[Delivery Date]]-orders[[#This Row],[Date]]))</f>
        <v>1</v>
      </c>
      <c r="P547" t="str">
        <f>IF(orders[[#This Row],[delivery days]]="","Not Delivered",IF(orders[[#This Row],[delivery days]]&lt;=2,"Fast",IF(orders[[#This Row],[delivery days]]&lt;=5,"Normal","Delayed")))</f>
        <v>Fast</v>
      </c>
    </row>
    <row r="548" spans="1:16" x14ac:dyDescent="0.25">
      <c r="A548" t="s">
        <v>684</v>
      </c>
      <c r="B548" s="5">
        <v>45863</v>
      </c>
      <c r="C548" t="s">
        <v>124</v>
      </c>
      <c r="D548" t="s">
        <v>168</v>
      </c>
      <c r="E548" t="s">
        <v>29</v>
      </c>
      <c r="F548">
        <v>1</v>
      </c>
      <c r="G548" s="1">
        <v>22</v>
      </c>
      <c r="H548" s="1">
        <v>8</v>
      </c>
      <c r="I548" s="5">
        <v>45864</v>
      </c>
      <c r="J548" t="s">
        <v>101</v>
      </c>
      <c r="K548" t="s">
        <v>35</v>
      </c>
      <c r="L548" t="s">
        <v>25</v>
      </c>
      <c r="M548" s="1">
        <f>(orders[[#This Row],[Revenue]]-orders[[#This Row],[Cost]])</f>
        <v>14</v>
      </c>
      <c r="N548" s="8">
        <f>IFERROR(orders[[#This Row],[profit]]/orders[[#This Row],[Revenue]],0)</f>
        <v>0.63636363636363635</v>
      </c>
      <c r="O548">
        <f>IF(orders[[#This Row],[Delivery Date]]="","",(orders[[#This Row],[Delivery Date]]-orders[[#This Row],[Date]]))</f>
        <v>1</v>
      </c>
      <c r="P548" t="str">
        <f>IF(orders[[#This Row],[delivery days]]="","Not Delivered",IF(orders[[#This Row],[delivery days]]&lt;=2,"Fast",IF(orders[[#This Row],[delivery days]]&lt;=5,"Normal","Delayed")))</f>
        <v>Fast</v>
      </c>
    </row>
    <row r="549" spans="1:16" x14ac:dyDescent="0.25">
      <c r="A549" t="s">
        <v>685</v>
      </c>
      <c r="B549" s="5">
        <v>45863</v>
      </c>
      <c r="C549" t="s">
        <v>259</v>
      </c>
      <c r="D549" t="s">
        <v>38</v>
      </c>
      <c r="E549" t="s">
        <v>39</v>
      </c>
      <c r="F549">
        <v>1</v>
      </c>
      <c r="G549" s="1">
        <v>850</v>
      </c>
      <c r="H549" s="1">
        <v>610</v>
      </c>
      <c r="I549" s="5">
        <v>45869</v>
      </c>
      <c r="J549" t="s">
        <v>52</v>
      </c>
      <c r="K549" t="s">
        <v>24</v>
      </c>
      <c r="L549" t="s">
        <v>25</v>
      </c>
      <c r="M549" s="1">
        <f>(orders[[#This Row],[Revenue]]-orders[[#This Row],[Cost]])</f>
        <v>240</v>
      </c>
      <c r="N549" s="8">
        <f>IFERROR(orders[[#This Row],[profit]]/orders[[#This Row],[Revenue]],0)</f>
        <v>0.28235294117647058</v>
      </c>
      <c r="O549">
        <f>IF(orders[[#This Row],[Delivery Date]]="","",(orders[[#This Row],[Delivery Date]]-orders[[#This Row],[Date]]))</f>
        <v>6</v>
      </c>
      <c r="P549" t="str">
        <f>IF(orders[[#This Row],[delivery days]]="","Not Delivered",IF(orders[[#This Row],[delivery days]]&lt;=2,"Fast",IF(orders[[#This Row],[delivery days]]&lt;=5,"Normal","Delayed")))</f>
        <v>Delayed</v>
      </c>
    </row>
    <row r="550" spans="1:16" x14ac:dyDescent="0.25">
      <c r="A550" t="s">
        <v>686</v>
      </c>
      <c r="B550" s="5">
        <v>45863</v>
      </c>
      <c r="C550" t="s">
        <v>94</v>
      </c>
      <c r="D550" t="s">
        <v>235</v>
      </c>
      <c r="E550" t="s">
        <v>15</v>
      </c>
      <c r="F550">
        <v>1</v>
      </c>
      <c r="G550" s="1">
        <v>63.05</v>
      </c>
      <c r="H550" s="1">
        <v>31</v>
      </c>
      <c r="I550" s="5">
        <v>45864</v>
      </c>
      <c r="J550" t="s">
        <v>30</v>
      </c>
      <c r="K550" t="s">
        <v>35</v>
      </c>
      <c r="L550" t="s">
        <v>25</v>
      </c>
      <c r="M550" s="1">
        <f>(orders[[#This Row],[Revenue]]-orders[[#This Row],[Cost]])</f>
        <v>32.049999999999997</v>
      </c>
      <c r="N550" s="8">
        <f>IFERROR(orders[[#This Row],[profit]]/orders[[#This Row],[Revenue]],0)</f>
        <v>0.50832672482157015</v>
      </c>
      <c r="O550">
        <f>IF(orders[[#This Row],[Delivery Date]]="","",(orders[[#This Row],[Delivery Date]]-orders[[#This Row],[Date]]))</f>
        <v>1</v>
      </c>
      <c r="P550" t="str">
        <f>IF(orders[[#This Row],[delivery days]]="","Not Delivered",IF(orders[[#This Row],[delivery days]]&lt;=2,"Fast",IF(orders[[#This Row],[delivery days]]&lt;=5,"Normal","Delayed")))</f>
        <v>Fast</v>
      </c>
    </row>
    <row r="551" spans="1:16" x14ac:dyDescent="0.25">
      <c r="A551" t="s">
        <v>687</v>
      </c>
      <c r="B551" s="5">
        <v>45863</v>
      </c>
      <c r="C551" t="s">
        <v>259</v>
      </c>
      <c r="D551" t="s">
        <v>97</v>
      </c>
      <c r="E551" t="s">
        <v>39</v>
      </c>
      <c r="F551">
        <v>3</v>
      </c>
      <c r="G551" s="1">
        <v>1205.0999999999999</v>
      </c>
      <c r="H551" s="1">
        <v>780</v>
      </c>
      <c r="I551" s="5">
        <v>45867</v>
      </c>
      <c r="J551" t="s">
        <v>23</v>
      </c>
      <c r="K551" t="s">
        <v>17</v>
      </c>
      <c r="L551" t="s">
        <v>25</v>
      </c>
      <c r="M551" s="1">
        <f>(orders[[#This Row],[Revenue]]-orders[[#This Row],[Cost]])</f>
        <v>425.09999999999991</v>
      </c>
      <c r="N551" s="8">
        <f>IFERROR(orders[[#This Row],[profit]]/orders[[#This Row],[Revenue]],0)</f>
        <v>0.35275080906148865</v>
      </c>
      <c r="O551">
        <f>IF(orders[[#This Row],[Delivery Date]]="","",(orders[[#This Row],[Delivery Date]]-orders[[#This Row],[Date]]))</f>
        <v>4</v>
      </c>
      <c r="P551" t="str">
        <f>IF(orders[[#This Row],[delivery days]]="","Not Delivered",IF(orders[[#This Row],[delivery days]]&lt;=2,"Fast",IF(orders[[#This Row],[delivery days]]&lt;=5,"Normal","Delayed")))</f>
        <v>Normal</v>
      </c>
    </row>
    <row r="552" spans="1:16" x14ac:dyDescent="0.25">
      <c r="A552" t="s">
        <v>688</v>
      </c>
      <c r="B552" s="5">
        <v>45864</v>
      </c>
      <c r="C552" t="s">
        <v>92</v>
      </c>
      <c r="D552" t="s">
        <v>97</v>
      </c>
      <c r="E552" t="s">
        <v>39</v>
      </c>
      <c r="F552">
        <v>1</v>
      </c>
      <c r="G552" s="1">
        <v>390</v>
      </c>
      <c r="H552" s="1">
        <v>254.8</v>
      </c>
      <c r="I552" s="5">
        <v>45868</v>
      </c>
      <c r="J552" t="s">
        <v>30</v>
      </c>
      <c r="K552" t="s">
        <v>17</v>
      </c>
      <c r="L552" t="s">
        <v>25</v>
      </c>
      <c r="M552" s="1">
        <f>(orders[[#This Row],[Revenue]]-orders[[#This Row],[Cost]])</f>
        <v>135.19999999999999</v>
      </c>
      <c r="N552" s="8">
        <f>IFERROR(orders[[#This Row],[profit]]/orders[[#This Row],[Revenue]],0)</f>
        <v>0.34666666666666662</v>
      </c>
      <c r="O552">
        <f>IF(orders[[#This Row],[Delivery Date]]="","",(orders[[#This Row],[Delivery Date]]-orders[[#This Row],[Date]]))</f>
        <v>4</v>
      </c>
      <c r="P552" t="str">
        <f>IF(orders[[#This Row],[delivery days]]="","Not Delivered",IF(orders[[#This Row],[delivery days]]&lt;=2,"Fast",IF(orders[[#This Row],[delivery days]]&lt;=5,"Normal","Delayed")))</f>
        <v>Normal</v>
      </c>
    </row>
    <row r="553" spans="1:16" x14ac:dyDescent="0.25">
      <c r="A553" t="s">
        <v>689</v>
      </c>
      <c r="B553" s="5">
        <v>45866</v>
      </c>
      <c r="C553" t="s">
        <v>105</v>
      </c>
      <c r="D553" t="s">
        <v>177</v>
      </c>
      <c r="E553" t="s">
        <v>34</v>
      </c>
      <c r="F553">
        <v>1</v>
      </c>
      <c r="G553" s="1">
        <v>145</v>
      </c>
      <c r="H553" s="1">
        <v>78</v>
      </c>
      <c r="I553" s="5">
        <v>45869</v>
      </c>
      <c r="J553" t="s">
        <v>30</v>
      </c>
      <c r="K553" t="s">
        <v>17</v>
      </c>
      <c r="L553" t="s">
        <v>25</v>
      </c>
      <c r="M553" s="1">
        <f>(orders[[#This Row],[Revenue]]-orders[[#This Row],[Cost]])</f>
        <v>67</v>
      </c>
      <c r="N553" s="8">
        <f>IFERROR(orders[[#This Row],[profit]]/orders[[#This Row],[Revenue]],0)</f>
        <v>0.46206896551724136</v>
      </c>
      <c r="O553">
        <f>IF(orders[[#This Row],[Delivery Date]]="","",(orders[[#This Row],[Delivery Date]]-orders[[#This Row],[Date]]))</f>
        <v>3</v>
      </c>
      <c r="P553" t="str">
        <f>IF(orders[[#This Row],[delivery days]]="","Not Delivered",IF(orders[[#This Row],[delivery days]]&lt;=2,"Fast",IF(orders[[#This Row],[delivery days]]&lt;=5,"Normal","Delayed")))</f>
        <v>Normal</v>
      </c>
    </row>
    <row r="554" spans="1:16" x14ac:dyDescent="0.25">
      <c r="A554" t="s">
        <v>690</v>
      </c>
      <c r="B554" s="5">
        <v>45867</v>
      </c>
      <c r="C554" t="s">
        <v>44</v>
      </c>
      <c r="D554" t="s">
        <v>119</v>
      </c>
      <c r="E554" t="s">
        <v>39</v>
      </c>
      <c r="F554">
        <v>3</v>
      </c>
      <c r="G554" s="1">
        <v>165</v>
      </c>
      <c r="H554" s="1">
        <v>82.32</v>
      </c>
      <c r="I554" s="5">
        <v>45873</v>
      </c>
      <c r="J554" t="s">
        <v>52</v>
      </c>
      <c r="K554" t="s">
        <v>24</v>
      </c>
      <c r="L554" t="s">
        <v>25</v>
      </c>
      <c r="M554" s="1">
        <f>(orders[[#This Row],[Revenue]]-orders[[#This Row],[Cost]])</f>
        <v>82.68</v>
      </c>
      <c r="N554" s="8">
        <f>IFERROR(orders[[#This Row],[profit]]/orders[[#This Row],[Revenue]],0)</f>
        <v>0.50109090909090914</v>
      </c>
      <c r="O554">
        <f>IF(orders[[#This Row],[Delivery Date]]="","",(orders[[#This Row],[Delivery Date]]-orders[[#This Row],[Date]]))</f>
        <v>6</v>
      </c>
      <c r="P554" t="str">
        <f>IF(orders[[#This Row],[delivery days]]="","Not Delivered",IF(orders[[#This Row],[delivery days]]&lt;=2,"Fast",IF(orders[[#This Row],[delivery days]]&lt;=5,"Normal","Delayed")))</f>
        <v>Delayed</v>
      </c>
    </row>
    <row r="555" spans="1:16" x14ac:dyDescent="0.25">
      <c r="A555" t="s">
        <v>691</v>
      </c>
      <c r="B555" s="5">
        <v>45868</v>
      </c>
      <c r="C555" t="s">
        <v>204</v>
      </c>
      <c r="D555" t="s">
        <v>127</v>
      </c>
      <c r="E555" t="s">
        <v>29</v>
      </c>
      <c r="F555">
        <v>5</v>
      </c>
      <c r="G555" s="1">
        <v>92.7</v>
      </c>
      <c r="H555" s="1">
        <v>30</v>
      </c>
      <c r="I555" s="5">
        <v>45871</v>
      </c>
      <c r="J555" t="s">
        <v>16</v>
      </c>
      <c r="K555" t="s">
        <v>35</v>
      </c>
      <c r="L555" t="s">
        <v>25</v>
      </c>
      <c r="M555" s="1">
        <f>(orders[[#This Row],[Revenue]]-orders[[#This Row],[Cost]])</f>
        <v>62.7</v>
      </c>
      <c r="N555" s="8">
        <f>IFERROR(orders[[#This Row],[profit]]/orders[[#This Row],[Revenue]],0)</f>
        <v>0.6763754045307443</v>
      </c>
      <c r="O555">
        <f>IF(orders[[#This Row],[Delivery Date]]="","",(orders[[#This Row],[Delivery Date]]-orders[[#This Row],[Date]]))</f>
        <v>3</v>
      </c>
      <c r="P555" t="str">
        <f>IF(orders[[#This Row],[delivery days]]="","Not Delivered",IF(orders[[#This Row],[delivery days]]&lt;=2,"Fast",IF(orders[[#This Row],[delivery days]]&lt;=5,"Normal","Delayed")))</f>
        <v>Normal</v>
      </c>
    </row>
    <row r="556" spans="1:16" x14ac:dyDescent="0.25">
      <c r="A556" t="s">
        <v>692</v>
      </c>
      <c r="B556" s="5">
        <v>45868</v>
      </c>
      <c r="C556" t="s">
        <v>64</v>
      </c>
      <c r="D556" t="s">
        <v>83</v>
      </c>
      <c r="E556" t="s">
        <v>15</v>
      </c>
      <c r="F556">
        <v>1</v>
      </c>
      <c r="G556" s="1">
        <v>75</v>
      </c>
      <c r="H556" s="1">
        <v>39</v>
      </c>
      <c r="I556" s="5">
        <v>45871</v>
      </c>
      <c r="J556" t="s">
        <v>46</v>
      </c>
      <c r="K556" t="s">
        <v>47</v>
      </c>
      <c r="L556" t="s">
        <v>25</v>
      </c>
      <c r="M556" s="1">
        <f>(orders[[#This Row],[Revenue]]-orders[[#This Row],[Cost]])</f>
        <v>36</v>
      </c>
      <c r="N556" s="8">
        <f>IFERROR(orders[[#This Row],[profit]]/orders[[#This Row],[Revenue]],0)</f>
        <v>0.48</v>
      </c>
      <c r="O556">
        <f>IF(orders[[#This Row],[Delivery Date]]="","",(orders[[#This Row],[Delivery Date]]-orders[[#This Row],[Date]]))</f>
        <v>3</v>
      </c>
      <c r="P556" t="str">
        <f>IF(orders[[#This Row],[delivery days]]="","Not Delivered",IF(orders[[#This Row],[delivery days]]&lt;=2,"Fast",IF(orders[[#This Row],[delivery days]]&lt;=5,"Normal","Delayed")))</f>
        <v>Normal</v>
      </c>
    </row>
    <row r="557" spans="1:16" x14ac:dyDescent="0.25">
      <c r="A557" t="s">
        <v>693</v>
      </c>
      <c r="B557" s="5">
        <v>45868</v>
      </c>
      <c r="C557" t="s">
        <v>41</v>
      </c>
      <c r="D557" t="s">
        <v>153</v>
      </c>
      <c r="E557" t="s">
        <v>34</v>
      </c>
      <c r="F557">
        <v>3</v>
      </c>
      <c r="G557" s="1">
        <v>204</v>
      </c>
      <c r="H557" s="1">
        <v>96</v>
      </c>
      <c r="I557" s="5">
        <v>45871</v>
      </c>
      <c r="J557" t="s">
        <v>16</v>
      </c>
      <c r="K557" t="s">
        <v>35</v>
      </c>
      <c r="L557" t="s">
        <v>25</v>
      </c>
      <c r="M557" s="1">
        <f>(orders[[#This Row],[Revenue]]-orders[[#This Row],[Cost]])</f>
        <v>108</v>
      </c>
      <c r="N557" s="8">
        <f>IFERROR(orders[[#This Row],[profit]]/orders[[#This Row],[Revenue]],0)</f>
        <v>0.52941176470588236</v>
      </c>
      <c r="O557">
        <f>IF(orders[[#This Row],[Delivery Date]]="","",(orders[[#This Row],[Delivery Date]]-orders[[#This Row],[Date]]))</f>
        <v>3</v>
      </c>
      <c r="P557" t="str">
        <f>IF(orders[[#This Row],[delivery days]]="","Not Delivered",IF(orders[[#This Row],[delivery days]]&lt;=2,"Fast",IF(orders[[#This Row],[delivery days]]&lt;=5,"Normal","Delayed")))</f>
        <v>Normal</v>
      </c>
    </row>
    <row r="558" spans="1:16" x14ac:dyDescent="0.25">
      <c r="A558" t="s">
        <v>694</v>
      </c>
      <c r="B558" s="5">
        <v>45868</v>
      </c>
      <c r="C558" t="s">
        <v>41</v>
      </c>
      <c r="D558" t="s">
        <v>33</v>
      </c>
      <c r="E558" t="s">
        <v>34</v>
      </c>
      <c r="F558">
        <v>2</v>
      </c>
      <c r="G558" s="1">
        <v>116</v>
      </c>
      <c r="H558" s="1">
        <v>51</v>
      </c>
      <c r="I558" s="5">
        <v>45874</v>
      </c>
      <c r="J558" t="s">
        <v>52</v>
      </c>
      <c r="K558" t="s">
        <v>24</v>
      </c>
      <c r="L558" t="s">
        <v>25</v>
      </c>
      <c r="M558" s="1">
        <f>(orders[[#This Row],[Revenue]]-orders[[#This Row],[Cost]])</f>
        <v>65</v>
      </c>
      <c r="N558" s="8">
        <f>IFERROR(orders[[#This Row],[profit]]/orders[[#This Row],[Revenue]],0)</f>
        <v>0.56034482758620685</v>
      </c>
      <c r="O558">
        <f>IF(orders[[#This Row],[Delivery Date]]="","",(orders[[#This Row],[Delivery Date]]-orders[[#This Row],[Date]]))</f>
        <v>6</v>
      </c>
      <c r="P558" t="str">
        <f>IF(orders[[#This Row],[delivery days]]="","Not Delivered",IF(orders[[#This Row],[delivery days]]&lt;=2,"Fast",IF(orders[[#This Row],[delivery days]]&lt;=5,"Normal","Delayed")))</f>
        <v>Delayed</v>
      </c>
    </row>
    <row r="559" spans="1:16" x14ac:dyDescent="0.25">
      <c r="A559" t="s">
        <v>695</v>
      </c>
      <c r="B559" s="5">
        <v>45868</v>
      </c>
      <c r="C559" t="s">
        <v>222</v>
      </c>
      <c r="D559" t="s">
        <v>83</v>
      </c>
      <c r="E559" t="s">
        <v>15</v>
      </c>
      <c r="F559">
        <v>1</v>
      </c>
      <c r="G559" s="1">
        <v>72.75</v>
      </c>
      <c r="H559" s="1">
        <v>39</v>
      </c>
      <c r="I559" s="5">
        <v>45872</v>
      </c>
      <c r="J559" t="s">
        <v>46</v>
      </c>
      <c r="K559" t="s">
        <v>24</v>
      </c>
      <c r="L559" t="s">
        <v>25</v>
      </c>
      <c r="M559" s="1">
        <f>(orders[[#This Row],[Revenue]]-orders[[#This Row],[Cost]])</f>
        <v>33.75</v>
      </c>
      <c r="N559" s="8">
        <f>IFERROR(orders[[#This Row],[profit]]/orders[[#This Row],[Revenue]],0)</f>
        <v>0.46391752577319589</v>
      </c>
      <c r="O559">
        <f>IF(orders[[#This Row],[Delivery Date]]="","",(orders[[#This Row],[Delivery Date]]-orders[[#This Row],[Date]]))</f>
        <v>4</v>
      </c>
      <c r="P559" t="str">
        <f>IF(orders[[#This Row],[delivery days]]="","Not Delivered",IF(orders[[#This Row],[delivery days]]&lt;=2,"Fast",IF(orders[[#This Row],[delivery days]]&lt;=5,"Normal","Delayed")))</f>
        <v>Normal</v>
      </c>
    </row>
    <row r="560" spans="1:16" x14ac:dyDescent="0.25">
      <c r="A560" t="s">
        <v>696</v>
      </c>
      <c r="B560" s="5">
        <v>45869</v>
      </c>
      <c r="C560" t="s">
        <v>487</v>
      </c>
      <c r="D560" t="s">
        <v>308</v>
      </c>
      <c r="E560" t="s">
        <v>22</v>
      </c>
      <c r="F560">
        <v>1</v>
      </c>
      <c r="G560" s="1">
        <v>69</v>
      </c>
      <c r="H560" s="1">
        <v>34</v>
      </c>
      <c r="I560" s="5">
        <v>45873</v>
      </c>
      <c r="J560" t="s">
        <v>16</v>
      </c>
      <c r="K560" t="s">
        <v>35</v>
      </c>
      <c r="L560" t="s">
        <v>25</v>
      </c>
      <c r="M560" s="1">
        <f>(orders[[#This Row],[Revenue]]-orders[[#This Row],[Cost]])</f>
        <v>35</v>
      </c>
      <c r="N560" s="8">
        <f>IFERROR(orders[[#This Row],[profit]]/orders[[#This Row],[Revenue]],0)</f>
        <v>0.50724637681159424</v>
      </c>
      <c r="O560">
        <f>IF(orders[[#This Row],[Delivery Date]]="","",(orders[[#This Row],[Delivery Date]]-orders[[#This Row],[Date]]))</f>
        <v>4</v>
      </c>
      <c r="P560" t="str">
        <f>IF(orders[[#This Row],[delivery days]]="","Not Delivered",IF(orders[[#This Row],[delivery days]]&lt;=2,"Fast",IF(orders[[#This Row],[delivery days]]&lt;=5,"Normal","Delayed")))</f>
        <v>Normal</v>
      </c>
    </row>
    <row r="561" spans="1:16" x14ac:dyDescent="0.25">
      <c r="A561" t="s">
        <v>697</v>
      </c>
      <c r="B561" s="5">
        <v>45869</v>
      </c>
      <c r="C561" t="s">
        <v>79</v>
      </c>
      <c r="D561" t="s">
        <v>159</v>
      </c>
      <c r="E561" t="s">
        <v>39</v>
      </c>
      <c r="F561">
        <v>1</v>
      </c>
      <c r="G561" s="1">
        <v>106.7</v>
      </c>
      <c r="H561" s="1">
        <v>60.76</v>
      </c>
      <c r="I561" s="5">
        <v>45872</v>
      </c>
      <c r="J561" t="s">
        <v>23</v>
      </c>
      <c r="K561" t="s">
        <v>17</v>
      </c>
      <c r="L561" t="s">
        <v>25</v>
      </c>
      <c r="M561" s="1">
        <f>(orders[[#This Row],[Revenue]]-orders[[#This Row],[Cost]])</f>
        <v>45.940000000000005</v>
      </c>
      <c r="N561" s="8">
        <f>IFERROR(orders[[#This Row],[profit]]/orders[[#This Row],[Revenue]],0)</f>
        <v>0.43055295220243678</v>
      </c>
      <c r="O561">
        <f>IF(orders[[#This Row],[Delivery Date]]="","",(orders[[#This Row],[Delivery Date]]-orders[[#This Row],[Date]]))</f>
        <v>3</v>
      </c>
      <c r="P561" t="str">
        <f>IF(orders[[#This Row],[delivery days]]="","Not Delivered",IF(orders[[#This Row],[delivery days]]&lt;=2,"Fast",IF(orders[[#This Row],[delivery days]]&lt;=5,"Normal","Delayed")))</f>
        <v>Normal</v>
      </c>
    </row>
    <row r="562" spans="1:16" x14ac:dyDescent="0.25">
      <c r="A562" t="s">
        <v>698</v>
      </c>
      <c r="B562" s="5">
        <v>45869</v>
      </c>
      <c r="C562" t="s">
        <v>139</v>
      </c>
      <c r="D562" t="s">
        <v>108</v>
      </c>
      <c r="E562" t="s">
        <v>22</v>
      </c>
      <c r="F562">
        <v>1</v>
      </c>
      <c r="G562" s="1">
        <v>102.6</v>
      </c>
      <c r="H562" s="1">
        <v>42</v>
      </c>
      <c r="I562" s="5">
        <v>45873</v>
      </c>
      <c r="J562" t="s">
        <v>46</v>
      </c>
      <c r="K562" t="s">
        <v>47</v>
      </c>
      <c r="L562" t="s">
        <v>25</v>
      </c>
      <c r="M562" s="1">
        <f>(orders[[#This Row],[Revenue]]-orders[[#This Row],[Cost]])</f>
        <v>60.599999999999994</v>
      </c>
      <c r="N562" s="8">
        <f>IFERROR(orders[[#This Row],[profit]]/orders[[#This Row],[Revenue]],0)</f>
        <v>0.59064327485380119</v>
      </c>
      <c r="O562">
        <f>IF(orders[[#This Row],[Delivery Date]]="","",(orders[[#This Row],[Delivery Date]]-orders[[#This Row],[Date]]))</f>
        <v>4</v>
      </c>
      <c r="P562" t="str">
        <f>IF(orders[[#This Row],[delivery days]]="","Not Delivered",IF(orders[[#This Row],[delivery days]]&lt;=2,"Fast",IF(orders[[#This Row],[delivery days]]&lt;=5,"Normal","Delayed")))</f>
        <v>Normal</v>
      </c>
    </row>
    <row r="563" spans="1:16" x14ac:dyDescent="0.25">
      <c r="A563" t="s">
        <v>699</v>
      </c>
      <c r="B563" s="5">
        <v>45869</v>
      </c>
      <c r="C563" t="s">
        <v>139</v>
      </c>
      <c r="D563" t="s">
        <v>83</v>
      </c>
      <c r="E563" t="s">
        <v>15</v>
      </c>
      <c r="F563">
        <v>1</v>
      </c>
      <c r="G563" s="1">
        <v>75</v>
      </c>
      <c r="H563" s="1">
        <v>39</v>
      </c>
      <c r="I563" s="5">
        <v>45874</v>
      </c>
      <c r="J563" t="s">
        <v>16</v>
      </c>
      <c r="K563" t="s">
        <v>17</v>
      </c>
      <c r="L563" t="s">
        <v>25</v>
      </c>
      <c r="M563" s="1">
        <f>(orders[[#This Row],[Revenue]]-orders[[#This Row],[Cost]])</f>
        <v>36</v>
      </c>
      <c r="N563" s="8">
        <f>IFERROR(orders[[#This Row],[profit]]/orders[[#This Row],[Revenue]],0)</f>
        <v>0.48</v>
      </c>
      <c r="O563">
        <f>IF(orders[[#This Row],[Delivery Date]]="","",(orders[[#This Row],[Delivery Date]]-orders[[#This Row],[Date]]))</f>
        <v>5</v>
      </c>
      <c r="P563" t="str">
        <f>IF(orders[[#This Row],[delivery days]]="","Not Delivered",IF(orders[[#This Row],[delivery days]]&lt;=2,"Fast",IF(orders[[#This Row],[delivery days]]&lt;=5,"Normal","Delayed")))</f>
        <v>Normal</v>
      </c>
    </row>
    <row r="564" spans="1:16" x14ac:dyDescent="0.25">
      <c r="A564" t="s">
        <v>700</v>
      </c>
      <c r="B564" s="5">
        <v>45870</v>
      </c>
      <c r="C564" t="s">
        <v>142</v>
      </c>
      <c r="D564" t="s">
        <v>289</v>
      </c>
      <c r="E564" t="s">
        <v>22</v>
      </c>
      <c r="F564">
        <v>1</v>
      </c>
      <c r="G564" s="1">
        <v>62</v>
      </c>
      <c r="H564" s="1">
        <v>29</v>
      </c>
      <c r="I564" s="5">
        <v>45872</v>
      </c>
      <c r="J564" t="s">
        <v>23</v>
      </c>
      <c r="K564" t="s">
        <v>24</v>
      </c>
      <c r="L564" t="s">
        <v>25</v>
      </c>
      <c r="M564" s="1">
        <f>(orders[[#This Row],[Revenue]]-orders[[#This Row],[Cost]])</f>
        <v>33</v>
      </c>
      <c r="N564" s="8">
        <f>IFERROR(orders[[#This Row],[profit]]/orders[[#This Row],[Revenue]],0)</f>
        <v>0.532258064516129</v>
      </c>
      <c r="O564">
        <f>IF(orders[[#This Row],[Delivery Date]]="","",(orders[[#This Row],[Delivery Date]]-orders[[#This Row],[Date]]))</f>
        <v>2</v>
      </c>
      <c r="P564" t="str">
        <f>IF(orders[[#This Row],[delivery days]]="","Not Delivered",IF(orders[[#This Row],[delivery days]]&lt;=2,"Fast",IF(orders[[#This Row],[delivery days]]&lt;=5,"Normal","Delayed")))</f>
        <v>Fast</v>
      </c>
    </row>
    <row r="565" spans="1:16" x14ac:dyDescent="0.25">
      <c r="A565" t="s">
        <v>701</v>
      </c>
      <c r="B565" s="5">
        <v>45870</v>
      </c>
      <c r="C565" t="s">
        <v>282</v>
      </c>
      <c r="D565" t="s">
        <v>51</v>
      </c>
      <c r="E565" t="s">
        <v>34</v>
      </c>
      <c r="F565">
        <v>1</v>
      </c>
      <c r="G565" s="1">
        <v>85</v>
      </c>
      <c r="H565" s="1">
        <v>42</v>
      </c>
      <c r="I565" s="5">
        <v>45873</v>
      </c>
      <c r="J565" t="s">
        <v>30</v>
      </c>
      <c r="K565" t="s">
        <v>17</v>
      </c>
      <c r="L565" t="s">
        <v>25</v>
      </c>
      <c r="M565" s="1">
        <f>(orders[[#This Row],[Revenue]]-orders[[#This Row],[Cost]])</f>
        <v>43</v>
      </c>
      <c r="N565" s="8">
        <f>IFERROR(orders[[#This Row],[profit]]/orders[[#This Row],[Revenue]],0)</f>
        <v>0.50588235294117645</v>
      </c>
      <c r="O565">
        <f>IF(orders[[#This Row],[Delivery Date]]="","",(orders[[#This Row],[Delivery Date]]-orders[[#This Row],[Date]]))</f>
        <v>3</v>
      </c>
      <c r="P565" t="str">
        <f>IF(orders[[#This Row],[delivery days]]="","Not Delivered",IF(orders[[#This Row],[delivery days]]&lt;=2,"Fast",IF(orders[[#This Row],[delivery days]]&lt;=5,"Normal","Delayed")))</f>
        <v>Normal</v>
      </c>
    </row>
    <row r="566" spans="1:16" x14ac:dyDescent="0.25">
      <c r="A566" t="s">
        <v>702</v>
      </c>
      <c r="B566" s="5">
        <v>45870</v>
      </c>
      <c r="C566" t="s">
        <v>27</v>
      </c>
      <c r="D566" t="s">
        <v>224</v>
      </c>
      <c r="E566" t="s">
        <v>77</v>
      </c>
      <c r="F566">
        <v>1</v>
      </c>
      <c r="G566" s="1">
        <v>125</v>
      </c>
      <c r="H566" s="1">
        <v>67</v>
      </c>
      <c r="I566" s="5">
        <v>45873</v>
      </c>
      <c r="J566" t="s">
        <v>23</v>
      </c>
      <c r="K566" t="s">
        <v>17</v>
      </c>
      <c r="L566" t="s">
        <v>25</v>
      </c>
      <c r="M566" s="1">
        <f>(orders[[#This Row],[Revenue]]-orders[[#This Row],[Cost]])</f>
        <v>58</v>
      </c>
      <c r="N566" s="8">
        <f>IFERROR(orders[[#This Row],[profit]]/orders[[#This Row],[Revenue]],0)</f>
        <v>0.46400000000000002</v>
      </c>
      <c r="O566">
        <f>IF(orders[[#This Row],[Delivery Date]]="","",(orders[[#This Row],[Delivery Date]]-orders[[#This Row],[Date]]))</f>
        <v>3</v>
      </c>
      <c r="P566" t="str">
        <f>IF(orders[[#This Row],[delivery days]]="","Not Delivered",IF(orders[[#This Row],[delivery days]]&lt;=2,"Fast",IF(orders[[#This Row],[delivery days]]&lt;=5,"Normal","Delayed")))</f>
        <v>Normal</v>
      </c>
    </row>
    <row r="567" spans="1:16" x14ac:dyDescent="0.25">
      <c r="A567" t="s">
        <v>703</v>
      </c>
      <c r="B567" s="5">
        <v>45871</v>
      </c>
      <c r="C567" t="s">
        <v>174</v>
      </c>
      <c r="D567" t="s">
        <v>308</v>
      </c>
      <c r="E567" t="s">
        <v>22</v>
      </c>
      <c r="F567">
        <v>3</v>
      </c>
      <c r="G567" s="1">
        <v>231.75</v>
      </c>
      <c r="H567" s="1">
        <v>102</v>
      </c>
      <c r="I567" s="5">
        <v>45873</v>
      </c>
      <c r="J567" t="s">
        <v>46</v>
      </c>
      <c r="K567" t="s">
        <v>47</v>
      </c>
      <c r="L567" t="s">
        <v>25</v>
      </c>
      <c r="M567" s="1">
        <f>(orders[[#This Row],[Revenue]]-orders[[#This Row],[Cost]])</f>
        <v>129.75</v>
      </c>
      <c r="N567" s="8">
        <f>IFERROR(orders[[#This Row],[profit]]/orders[[#This Row],[Revenue]],0)</f>
        <v>0.55987055016181231</v>
      </c>
      <c r="O567">
        <f>IF(orders[[#This Row],[Delivery Date]]="","",(orders[[#This Row],[Delivery Date]]-orders[[#This Row],[Date]]))</f>
        <v>2</v>
      </c>
      <c r="P567" t="str">
        <f>IF(orders[[#This Row],[delivery days]]="","Not Delivered",IF(orders[[#This Row],[delivery days]]&lt;=2,"Fast",IF(orders[[#This Row],[delivery days]]&lt;=5,"Normal","Delayed")))</f>
        <v>Fast</v>
      </c>
    </row>
    <row r="568" spans="1:16" x14ac:dyDescent="0.25">
      <c r="A568" t="s">
        <v>704</v>
      </c>
      <c r="B568" s="5">
        <v>45871</v>
      </c>
      <c r="C568" t="s">
        <v>41</v>
      </c>
      <c r="D568" t="s">
        <v>38</v>
      </c>
      <c r="E568" t="s">
        <v>39</v>
      </c>
      <c r="F568">
        <v>1</v>
      </c>
      <c r="G568" s="1">
        <v>824.5</v>
      </c>
      <c r="H568" s="1">
        <v>610</v>
      </c>
      <c r="I568" s="5">
        <v>45873</v>
      </c>
      <c r="J568" t="s">
        <v>30</v>
      </c>
      <c r="K568" t="s">
        <v>35</v>
      </c>
      <c r="L568" t="s">
        <v>25</v>
      </c>
      <c r="M568" s="1">
        <f>(orders[[#This Row],[Revenue]]-orders[[#This Row],[Cost]])</f>
        <v>214.5</v>
      </c>
      <c r="N568" s="8">
        <f>IFERROR(orders[[#This Row],[profit]]/orders[[#This Row],[Revenue]],0)</f>
        <v>0.26015767131594908</v>
      </c>
      <c r="O568">
        <f>IF(orders[[#This Row],[Delivery Date]]="","",(orders[[#This Row],[Delivery Date]]-orders[[#This Row],[Date]]))</f>
        <v>2</v>
      </c>
      <c r="P568" t="str">
        <f>IF(orders[[#This Row],[delivery days]]="","Not Delivered",IF(orders[[#This Row],[delivery days]]&lt;=2,"Fast",IF(orders[[#This Row],[delivery days]]&lt;=5,"Normal","Delayed")))</f>
        <v>Fast</v>
      </c>
    </row>
    <row r="569" spans="1:16" x14ac:dyDescent="0.25">
      <c r="A569" t="s">
        <v>705</v>
      </c>
      <c r="B569" s="5">
        <v>45871</v>
      </c>
      <c r="C569" t="s">
        <v>269</v>
      </c>
      <c r="D569" t="s">
        <v>21</v>
      </c>
      <c r="E569" t="s">
        <v>22</v>
      </c>
      <c r="F569">
        <v>2</v>
      </c>
      <c r="G569" s="1">
        <v>64</v>
      </c>
      <c r="H569" s="1">
        <v>26</v>
      </c>
      <c r="I569" s="5">
        <v>45874</v>
      </c>
      <c r="J569" t="s">
        <v>30</v>
      </c>
      <c r="K569" t="s">
        <v>17</v>
      </c>
      <c r="L569" t="s">
        <v>25</v>
      </c>
      <c r="M569" s="1">
        <f>(orders[[#This Row],[Revenue]]-orders[[#This Row],[Cost]])</f>
        <v>38</v>
      </c>
      <c r="N569" s="8">
        <f>IFERROR(orders[[#This Row],[profit]]/orders[[#This Row],[Revenue]],0)</f>
        <v>0.59375</v>
      </c>
      <c r="O569">
        <f>IF(orders[[#This Row],[Delivery Date]]="","",(orders[[#This Row],[Delivery Date]]-orders[[#This Row],[Date]]))</f>
        <v>3</v>
      </c>
      <c r="P569" t="str">
        <f>IF(orders[[#This Row],[delivery days]]="","Not Delivered",IF(orders[[#This Row],[delivery days]]&lt;=2,"Fast",IF(orders[[#This Row],[delivery days]]&lt;=5,"Normal","Delayed")))</f>
        <v>Normal</v>
      </c>
    </row>
    <row r="570" spans="1:16" x14ac:dyDescent="0.25">
      <c r="A570" t="s">
        <v>706</v>
      </c>
      <c r="B570" s="5">
        <v>45872</v>
      </c>
      <c r="C570" t="s">
        <v>79</v>
      </c>
      <c r="D570" t="s">
        <v>65</v>
      </c>
      <c r="E570" t="s">
        <v>62</v>
      </c>
      <c r="F570">
        <v>2</v>
      </c>
      <c r="G570" s="1">
        <v>96</v>
      </c>
      <c r="H570" s="1">
        <v>42</v>
      </c>
      <c r="I570" s="5">
        <v>45875</v>
      </c>
      <c r="J570" t="s">
        <v>46</v>
      </c>
      <c r="K570" t="s">
        <v>24</v>
      </c>
      <c r="L570" t="s">
        <v>25</v>
      </c>
      <c r="M570" s="1">
        <f>(orders[[#This Row],[Revenue]]-orders[[#This Row],[Cost]])</f>
        <v>54</v>
      </c>
      <c r="N570" s="8">
        <f>IFERROR(orders[[#This Row],[profit]]/orders[[#This Row],[Revenue]],0)</f>
        <v>0.5625</v>
      </c>
      <c r="O570">
        <f>IF(orders[[#This Row],[Delivery Date]]="","",(orders[[#This Row],[Delivery Date]]-orders[[#This Row],[Date]]))</f>
        <v>3</v>
      </c>
      <c r="P570" t="str">
        <f>IF(orders[[#This Row],[delivery days]]="","Not Delivered",IF(orders[[#This Row],[delivery days]]&lt;=2,"Fast",IF(orders[[#This Row],[delivery days]]&lt;=5,"Normal","Delayed")))</f>
        <v>Normal</v>
      </c>
    </row>
    <row r="571" spans="1:16" x14ac:dyDescent="0.25">
      <c r="A571" t="s">
        <v>707</v>
      </c>
      <c r="B571" s="5">
        <v>45873</v>
      </c>
      <c r="C571" t="s">
        <v>155</v>
      </c>
      <c r="D571" t="s">
        <v>100</v>
      </c>
      <c r="E571" t="s">
        <v>34</v>
      </c>
      <c r="F571">
        <v>1</v>
      </c>
      <c r="G571" s="1">
        <v>47.84</v>
      </c>
      <c r="H571" s="1">
        <v>23</v>
      </c>
      <c r="I571" s="5">
        <v>45875</v>
      </c>
      <c r="J571" t="s">
        <v>23</v>
      </c>
      <c r="K571" t="s">
        <v>17</v>
      </c>
      <c r="L571" t="s">
        <v>25</v>
      </c>
      <c r="M571" s="1">
        <f>(orders[[#This Row],[Revenue]]-orders[[#This Row],[Cost]])</f>
        <v>24.840000000000003</v>
      </c>
      <c r="N571" s="8">
        <f>IFERROR(orders[[#This Row],[profit]]/orders[[#This Row],[Revenue]],0)</f>
        <v>0.51923076923076927</v>
      </c>
      <c r="O571">
        <f>IF(orders[[#This Row],[Delivery Date]]="","",(orders[[#This Row],[Delivery Date]]-orders[[#This Row],[Date]]))</f>
        <v>2</v>
      </c>
      <c r="P571" t="str">
        <f>IF(orders[[#This Row],[delivery days]]="","Not Delivered",IF(orders[[#This Row],[delivery days]]&lt;=2,"Fast",IF(orders[[#This Row],[delivery days]]&lt;=5,"Normal","Delayed")))</f>
        <v>Fast</v>
      </c>
    </row>
    <row r="572" spans="1:16" x14ac:dyDescent="0.25">
      <c r="A572" t="s">
        <v>708</v>
      </c>
      <c r="B572" s="5">
        <v>45873</v>
      </c>
      <c r="C572" t="s">
        <v>174</v>
      </c>
      <c r="D572" t="s">
        <v>65</v>
      </c>
      <c r="E572" t="s">
        <v>62</v>
      </c>
      <c r="F572">
        <v>3</v>
      </c>
      <c r="G572" s="1">
        <v>144</v>
      </c>
      <c r="H572" s="1">
        <v>61.74</v>
      </c>
      <c r="I572" s="5">
        <v>45877</v>
      </c>
      <c r="J572" t="s">
        <v>52</v>
      </c>
      <c r="K572" t="s">
        <v>47</v>
      </c>
      <c r="L572" t="s">
        <v>25</v>
      </c>
      <c r="M572" s="1">
        <f>(orders[[#This Row],[Revenue]]-orders[[#This Row],[Cost]])</f>
        <v>82.259999999999991</v>
      </c>
      <c r="N572" s="8">
        <f>IFERROR(orders[[#This Row],[profit]]/orders[[#This Row],[Revenue]],0)</f>
        <v>0.57124999999999992</v>
      </c>
      <c r="O572">
        <f>IF(orders[[#This Row],[Delivery Date]]="","",(orders[[#This Row],[Delivery Date]]-orders[[#This Row],[Date]]))</f>
        <v>4</v>
      </c>
      <c r="P572" t="str">
        <f>IF(orders[[#This Row],[delivery days]]="","Not Delivered",IF(orders[[#This Row],[delivery days]]&lt;=2,"Fast",IF(orders[[#This Row],[delivery days]]&lt;=5,"Normal","Delayed")))</f>
        <v>Normal</v>
      </c>
    </row>
    <row r="573" spans="1:16" x14ac:dyDescent="0.25">
      <c r="A573" t="s">
        <v>709</v>
      </c>
      <c r="B573" s="5">
        <v>45873</v>
      </c>
      <c r="C573" t="s">
        <v>137</v>
      </c>
      <c r="D573" t="s">
        <v>179</v>
      </c>
      <c r="E573" t="s">
        <v>34</v>
      </c>
      <c r="F573">
        <v>2</v>
      </c>
      <c r="G573" s="1">
        <v>87.3</v>
      </c>
      <c r="H573" s="1">
        <v>38</v>
      </c>
      <c r="I573" s="5">
        <v>45877</v>
      </c>
      <c r="J573" t="s">
        <v>23</v>
      </c>
      <c r="K573" t="s">
        <v>17</v>
      </c>
      <c r="L573" t="s">
        <v>25</v>
      </c>
      <c r="M573" s="1">
        <f>(orders[[#This Row],[Revenue]]-orders[[#This Row],[Cost]])</f>
        <v>49.3</v>
      </c>
      <c r="N573" s="8">
        <f>IFERROR(orders[[#This Row],[profit]]/orders[[#This Row],[Revenue]],0)</f>
        <v>0.56471935853379152</v>
      </c>
      <c r="O573">
        <f>IF(orders[[#This Row],[Delivery Date]]="","",(orders[[#This Row],[Delivery Date]]-orders[[#This Row],[Date]]))</f>
        <v>4</v>
      </c>
      <c r="P573" t="str">
        <f>IF(orders[[#This Row],[delivery days]]="","Not Delivered",IF(orders[[#This Row],[delivery days]]&lt;=2,"Fast",IF(orders[[#This Row],[delivery days]]&lt;=5,"Normal","Delayed")))</f>
        <v>Normal</v>
      </c>
    </row>
    <row r="574" spans="1:16" x14ac:dyDescent="0.25">
      <c r="A574" t="s">
        <v>710</v>
      </c>
      <c r="B574" s="5">
        <v>45874</v>
      </c>
      <c r="C574" t="s">
        <v>20</v>
      </c>
      <c r="D574" t="s">
        <v>177</v>
      </c>
      <c r="E574" t="s">
        <v>34</v>
      </c>
      <c r="F574">
        <v>1</v>
      </c>
      <c r="G574" s="1">
        <v>140.65</v>
      </c>
      <c r="H574" s="1">
        <v>79.56</v>
      </c>
      <c r="I574" s="5">
        <v>45875</v>
      </c>
      <c r="J574" t="s">
        <v>46</v>
      </c>
      <c r="K574" t="s">
        <v>47</v>
      </c>
      <c r="L574" t="s">
        <v>25</v>
      </c>
      <c r="M574" s="1">
        <f>(orders[[#This Row],[Revenue]]-orders[[#This Row],[Cost]])</f>
        <v>61.09</v>
      </c>
      <c r="N574" s="8">
        <f>IFERROR(orders[[#This Row],[profit]]/orders[[#This Row],[Revenue]],0)</f>
        <v>0.43434056167792395</v>
      </c>
      <c r="O574">
        <f>IF(orders[[#This Row],[Delivery Date]]="","",(orders[[#This Row],[Delivery Date]]-orders[[#This Row],[Date]]))</f>
        <v>1</v>
      </c>
      <c r="P574" t="str">
        <f>IF(orders[[#This Row],[delivery days]]="","Not Delivered",IF(orders[[#This Row],[delivery days]]&lt;=2,"Fast",IF(orders[[#This Row],[delivery days]]&lt;=5,"Normal","Delayed")))</f>
        <v>Fast</v>
      </c>
    </row>
    <row r="575" spans="1:16" x14ac:dyDescent="0.25">
      <c r="A575" t="s">
        <v>711</v>
      </c>
      <c r="B575" s="5">
        <v>45874</v>
      </c>
      <c r="C575" t="s">
        <v>228</v>
      </c>
      <c r="D575" t="s">
        <v>159</v>
      </c>
      <c r="E575" t="s">
        <v>39</v>
      </c>
      <c r="F575">
        <v>1</v>
      </c>
      <c r="G575" s="1">
        <v>110</v>
      </c>
      <c r="H575" s="1">
        <v>62</v>
      </c>
      <c r="I575" s="5">
        <v>45877</v>
      </c>
      <c r="J575" t="s">
        <v>46</v>
      </c>
      <c r="K575" t="s">
        <v>24</v>
      </c>
      <c r="L575" t="s">
        <v>25</v>
      </c>
      <c r="M575" s="1">
        <f>(orders[[#This Row],[Revenue]]-orders[[#This Row],[Cost]])</f>
        <v>48</v>
      </c>
      <c r="N575" s="8">
        <f>IFERROR(orders[[#This Row],[profit]]/orders[[#This Row],[Revenue]],0)</f>
        <v>0.43636363636363634</v>
      </c>
      <c r="O575">
        <f>IF(orders[[#This Row],[Delivery Date]]="","",(orders[[#This Row],[Delivery Date]]-orders[[#This Row],[Date]]))</f>
        <v>3</v>
      </c>
      <c r="P575" t="str">
        <f>IF(orders[[#This Row],[delivery days]]="","Not Delivered",IF(orders[[#This Row],[delivery days]]&lt;=2,"Fast",IF(orders[[#This Row],[delivery days]]&lt;=5,"Normal","Delayed")))</f>
        <v>Normal</v>
      </c>
    </row>
    <row r="576" spans="1:16" x14ac:dyDescent="0.25">
      <c r="A576" t="s">
        <v>712</v>
      </c>
      <c r="B576" s="5">
        <v>45874</v>
      </c>
      <c r="C576" t="s">
        <v>243</v>
      </c>
      <c r="D576" t="s">
        <v>86</v>
      </c>
      <c r="E576" t="s">
        <v>29</v>
      </c>
      <c r="F576">
        <v>1</v>
      </c>
      <c r="G576" s="1">
        <v>28.13</v>
      </c>
      <c r="H576" s="1">
        <v>12</v>
      </c>
      <c r="I576" s="5">
        <v>45877</v>
      </c>
      <c r="J576" t="s">
        <v>101</v>
      </c>
      <c r="K576" t="s">
        <v>47</v>
      </c>
      <c r="L576" t="s">
        <v>25</v>
      </c>
      <c r="M576" s="1">
        <f>(orders[[#This Row],[Revenue]]-orders[[#This Row],[Cost]])</f>
        <v>16.13</v>
      </c>
      <c r="N576" s="8">
        <f>IFERROR(orders[[#This Row],[profit]]/orders[[#This Row],[Revenue]],0)</f>
        <v>0.57340917170280836</v>
      </c>
      <c r="O576">
        <f>IF(orders[[#This Row],[Delivery Date]]="","",(orders[[#This Row],[Delivery Date]]-orders[[#This Row],[Date]]))</f>
        <v>3</v>
      </c>
      <c r="P576" t="str">
        <f>IF(orders[[#This Row],[delivery days]]="","Not Delivered",IF(orders[[#This Row],[delivery days]]&lt;=2,"Fast",IF(orders[[#This Row],[delivery days]]&lt;=5,"Normal","Delayed")))</f>
        <v>Normal</v>
      </c>
    </row>
    <row r="577" spans="1:16" x14ac:dyDescent="0.25">
      <c r="A577" t="s">
        <v>713</v>
      </c>
      <c r="B577" s="5">
        <v>45875</v>
      </c>
      <c r="C577" t="s">
        <v>124</v>
      </c>
      <c r="D577" t="s">
        <v>51</v>
      </c>
      <c r="E577" t="s">
        <v>34</v>
      </c>
      <c r="F577">
        <v>3</v>
      </c>
      <c r="G577" s="1">
        <v>275.39999999999998</v>
      </c>
      <c r="H577" s="1">
        <v>126</v>
      </c>
      <c r="I577" s="5">
        <v>45878</v>
      </c>
      <c r="J577" t="s">
        <v>30</v>
      </c>
      <c r="K577" t="s">
        <v>35</v>
      </c>
      <c r="L577" t="s">
        <v>25</v>
      </c>
      <c r="M577" s="1">
        <f>(orders[[#This Row],[Revenue]]-orders[[#This Row],[Cost]])</f>
        <v>149.39999999999998</v>
      </c>
      <c r="N577" s="8">
        <f>IFERROR(orders[[#This Row],[profit]]/orders[[#This Row],[Revenue]],0)</f>
        <v>0.54248366013071891</v>
      </c>
      <c r="O577">
        <f>IF(orders[[#This Row],[Delivery Date]]="","",(orders[[#This Row],[Delivery Date]]-orders[[#This Row],[Date]]))</f>
        <v>3</v>
      </c>
      <c r="P577" t="str">
        <f>IF(orders[[#This Row],[delivery days]]="","Not Delivered",IF(orders[[#This Row],[delivery days]]&lt;=2,"Fast",IF(orders[[#This Row],[delivery days]]&lt;=5,"Normal","Delayed")))</f>
        <v>Normal</v>
      </c>
    </row>
    <row r="578" spans="1:16" x14ac:dyDescent="0.25">
      <c r="A578" t="s">
        <v>714</v>
      </c>
      <c r="B578" s="5">
        <v>45875</v>
      </c>
      <c r="C578" t="s">
        <v>64</v>
      </c>
      <c r="D578" t="s">
        <v>215</v>
      </c>
      <c r="E578" t="s">
        <v>62</v>
      </c>
      <c r="F578">
        <v>1</v>
      </c>
      <c r="G578" s="1">
        <v>202.4</v>
      </c>
      <c r="H578" s="1">
        <v>142</v>
      </c>
      <c r="I578" s="5"/>
      <c r="J578" t="s">
        <v>101</v>
      </c>
      <c r="K578" t="s">
        <v>47</v>
      </c>
      <c r="L578" t="s">
        <v>103</v>
      </c>
      <c r="M578" s="1">
        <f>(orders[[#This Row],[Revenue]]-orders[[#This Row],[Cost]])</f>
        <v>60.400000000000006</v>
      </c>
      <c r="N578" s="8">
        <f>IFERROR(orders[[#This Row],[profit]]/orders[[#This Row],[Revenue]],0)</f>
        <v>0.29841897233201581</v>
      </c>
      <c r="O578" t="str">
        <f>IF(orders[[#This Row],[Delivery Date]]="","",(orders[[#This Row],[Delivery Date]]-orders[[#This Row],[Date]]))</f>
        <v/>
      </c>
      <c r="P578" t="str">
        <f>IF(orders[[#This Row],[delivery days]]="","Not Delivered",IF(orders[[#This Row],[delivery days]]&lt;=2,"Fast",IF(orders[[#This Row],[delivery days]]&lt;=5,"Normal","Delayed")))</f>
        <v>Not Delivered</v>
      </c>
    </row>
    <row r="579" spans="1:16" x14ac:dyDescent="0.25">
      <c r="A579" t="s">
        <v>715</v>
      </c>
      <c r="B579" s="5">
        <v>45875</v>
      </c>
      <c r="C579" t="s">
        <v>278</v>
      </c>
      <c r="D579" t="s">
        <v>110</v>
      </c>
      <c r="E579" t="s">
        <v>39</v>
      </c>
      <c r="F579">
        <v>2</v>
      </c>
      <c r="G579" s="1">
        <v>420</v>
      </c>
      <c r="H579" s="1">
        <v>250</v>
      </c>
      <c r="I579" s="5">
        <v>45877</v>
      </c>
      <c r="J579" t="s">
        <v>16</v>
      </c>
      <c r="K579" t="s">
        <v>35</v>
      </c>
      <c r="L579" t="s">
        <v>25</v>
      </c>
      <c r="M579" s="1">
        <f>(orders[[#This Row],[Revenue]]-orders[[#This Row],[Cost]])</f>
        <v>170</v>
      </c>
      <c r="N579" s="8">
        <f>IFERROR(orders[[#This Row],[profit]]/orders[[#This Row],[Revenue]],0)</f>
        <v>0.40476190476190477</v>
      </c>
      <c r="O579">
        <f>IF(orders[[#This Row],[Delivery Date]]="","",(orders[[#This Row],[Delivery Date]]-orders[[#This Row],[Date]]))</f>
        <v>2</v>
      </c>
      <c r="P579" t="str">
        <f>IF(orders[[#This Row],[delivery days]]="","Not Delivered",IF(orders[[#This Row],[delivery days]]&lt;=2,"Fast",IF(orders[[#This Row],[delivery days]]&lt;=5,"Normal","Delayed")))</f>
        <v>Fast</v>
      </c>
    </row>
    <row r="580" spans="1:16" x14ac:dyDescent="0.25">
      <c r="A580" t="s">
        <v>716</v>
      </c>
      <c r="B580" s="5">
        <v>45875</v>
      </c>
      <c r="C580" t="s">
        <v>99</v>
      </c>
      <c r="D580" t="s">
        <v>215</v>
      </c>
      <c r="E580" t="s">
        <v>62</v>
      </c>
      <c r="F580">
        <v>4</v>
      </c>
      <c r="G580" s="1">
        <v>853.6</v>
      </c>
      <c r="H580" s="1">
        <v>568</v>
      </c>
      <c r="I580" s="5">
        <v>45879</v>
      </c>
      <c r="J580" t="s">
        <v>52</v>
      </c>
      <c r="K580" t="s">
        <v>24</v>
      </c>
      <c r="L580" t="s">
        <v>25</v>
      </c>
      <c r="M580" s="1">
        <f>(orders[[#This Row],[Revenue]]-orders[[#This Row],[Cost]])</f>
        <v>285.60000000000002</v>
      </c>
      <c r="N580" s="8">
        <f>IFERROR(orders[[#This Row],[profit]]/orders[[#This Row],[Revenue]],0)</f>
        <v>0.33458294283036555</v>
      </c>
      <c r="O580">
        <f>IF(orders[[#This Row],[Delivery Date]]="","",(orders[[#This Row],[Delivery Date]]-orders[[#This Row],[Date]]))</f>
        <v>4</v>
      </c>
      <c r="P580" t="str">
        <f>IF(orders[[#This Row],[delivery days]]="","Not Delivered",IF(orders[[#This Row],[delivery days]]&lt;=2,"Fast",IF(orders[[#This Row],[delivery days]]&lt;=5,"Normal","Delayed")))</f>
        <v>Normal</v>
      </c>
    </row>
    <row r="581" spans="1:16" x14ac:dyDescent="0.25">
      <c r="A581" t="s">
        <v>717</v>
      </c>
      <c r="B581" s="5">
        <v>45875</v>
      </c>
      <c r="C581" t="s">
        <v>37</v>
      </c>
      <c r="D581" t="s">
        <v>266</v>
      </c>
      <c r="E581" t="s">
        <v>22</v>
      </c>
      <c r="F581">
        <v>1</v>
      </c>
      <c r="G581" s="1">
        <v>18</v>
      </c>
      <c r="H581" s="1">
        <v>7</v>
      </c>
      <c r="I581" s="5"/>
      <c r="J581" t="s">
        <v>52</v>
      </c>
      <c r="K581" t="s">
        <v>24</v>
      </c>
      <c r="L581" t="s">
        <v>42</v>
      </c>
      <c r="M581" s="1">
        <f>(orders[[#This Row],[Revenue]]-orders[[#This Row],[Cost]])</f>
        <v>11</v>
      </c>
      <c r="N581" s="8">
        <f>IFERROR(orders[[#This Row],[profit]]/orders[[#This Row],[Revenue]],0)</f>
        <v>0.61111111111111116</v>
      </c>
      <c r="O581" t="str">
        <f>IF(orders[[#This Row],[Delivery Date]]="","",(orders[[#This Row],[Delivery Date]]-orders[[#This Row],[Date]]))</f>
        <v/>
      </c>
      <c r="P581" t="str">
        <f>IF(orders[[#This Row],[delivery days]]="","Not Delivered",IF(orders[[#This Row],[delivery days]]&lt;=2,"Fast",IF(orders[[#This Row],[delivery days]]&lt;=5,"Normal","Delayed")))</f>
        <v>Not Delivered</v>
      </c>
    </row>
    <row r="582" spans="1:16" x14ac:dyDescent="0.25">
      <c r="A582" t="s">
        <v>718</v>
      </c>
      <c r="B582" s="5">
        <v>45876</v>
      </c>
      <c r="C582" t="s">
        <v>382</v>
      </c>
      <c r="D582" t="s">
        <v>51</v>
      </c>
      <c r="E582" t="s">
        <v>34</v>
      </c>
      <c r="F582">
        <v>1</v>
      </c>
      <c r="G582" s="1">
        <v>85</v>
      </c>
      <c r="H582" s="1">
        <v>42</v>
      </c>
      <c r="I582" s="5">
        <v>45880</v>
      </c>
      <c r="J582" t="s">
        <v>101</v>
      </c>
      <c r="K582" t="s">
        <v>47</v>
      </c>
      <c r="L582" t="s">
        <v>25</v>
      </c>
      <c r="M582" s="1">
        <f>(orders[[#This Row],[Revenue]]-orders[[#This Row],[Cost]])</f>
        <v>43</v>
      </c>
      <c r="N582" s="8">
        <f>IFERROR(orders[[#This Row],[profit]]/orders[[#This Row],[Revenue]],0)</f>
        <v>0.50588235294117645</v>
      </c>
      <c r="O582">
        <f>IF(orders[[#This Row],[Delivery Date]]="","",(orders[[#This Row],[Delivery Date]]-orders[[#This Row],[Date]]))</f>
        <v>4</v>
      </c>
      <c r="P582" t="str">
        <f>IF(orders[[#This Row],[delivery days]]="","Not Delivered",IF(orders[[#This Row],[delivery days]]&lt;=2,"Fast",IF(orders[[#This Row],[delivery days]]&lt;=5,"Normal","Delayed")))</f>
        <v>Normal</v>
      </c>
    </row>
    <row r="583" spans="1:16" x14ac:dyDescent="0.25">
      <c r="A583" t="s">
        <v>719</v>
      </c>
      <c r="B583" s="5">
        <v>45877</v>
      </c>
      <c r="C583" t="s">
        <v>69</v>
      </c>
      <c r="D583" t="s">
        <v>14</v>
      </c>
      <c r="E583" t="s">
        <v>15</v>
      </c>
      <c r="F583">
        <v>1</v>
      </c>
      <c r="G583" s="1">
        <v>25</v>
      </c>
      <c r="H583" s="1">
        <v>8.82</v>
      </c>
      <c r="I583" s="5">
        <v>45881</v>
      </c>
      <c r="J583" t="s">
        <v>52</v>
      </c>
      <c r="K583" t="s">
        <v>47</v>
      </c>
      <c r="L583" t="s">
        <v>25</v>
      </c>
      <c r="M583" s="1">
        <f>(orders[[#This Row],[Revenue]]-orders[[#This Row],[Cost]])</f>
        <v>16.18</v>
      </c>
      <c r="N583" s="8">
        <f>IFERROR(orders[[#This Row],[profit]]/orders[[#This Row],[Revenue]],0)</f>
        <v>0.6472</v>
      </c>
      <c r="O583">
        <f>IF(orders[[#This Row],[Delivery Date]]="","",(orders[[#This Row],[Delivery Date]]-orders[[#This Row],[Date]]))</f>
        <v>4</v>
      </c>
      <c r="P583" t="str">
        <f>IF(orders[[#This Row],[delivery days]]="","Not Delivered",IF(orders[[#This Row],[delivery days]]&lt;=2,"Fast",IF(orders[[#This Row],[delivery days]]&lt;=5,"Normal","Delayed")))</f>
        <v>Normal</v>
      </c>
    </row>
    <row r="584" spans="1:16" x14ac:dyDescent="0.25">
      <c r="A584" t="s">
        <v>720</v>
      </c>
      <c r="B584" s="5">
        <v>45877</v>
      </c>
      <c r="C584" t="s">
        <v>72</v>
      </c>
      <c r="D584" t="s">
        <v>270</v>
      </c>
      <c r="E584" t="s">
        <v>39</v>
      </c>
      <c r="F584">
        <v>4</v>
      </c>
      <c r="G584" s="1">
        <v>185.4</v>
      </c>
      <c r="H584" s="1">
        <v>88</v>
      </c>
      <c r="I584" s="5">
        <v>45878</v>
      </c>
      <c r="J584" t="s">
        <v>46</v>
      </c>
      <c r="K584" t="s">
        <v>47</v>
      </c>
      <c r="L584" t="s">
        <v>25</v>
      </c>
      <c r="M584" s="1">
        <f>(orders[[#This Row],[Revenue]]-orders[[#This Row],[Cost]])</f>
        <v>97.4</v>
      </c>
      <c r="N584" s="8">
        <f>IFERROR(orders[[#This Row],[profit]]/orders[[#This Row],[Revenue]],0)</f>
        <v>0.52535059331175837</v>
      </c>
      <c r="O584">
        <f>IF(orders[[#This Row],[Delivery Date]]="","",(orders[[#This Row],[Delivery Date]]-orders[[#This Row],[Date]]))</f>
        <v>1</v>
      </c>
      <c r="P584" t="str">
        <f>IF(orders[[#This Row],[delivery days]]="","Not Delivered",IF(orders[[#This Row],[delivery days]]&lt;=2,"Fast",IF(orders[[#This Row],[delivery days]]&lt;=5,"Normal","Delayed")))</f>
        <v>Fast</v>
      </c>
    </row>
    <row r="585" spans="1:16" x14ac:dyDescent="0.25">
      <c r="A585" t="s">
        <v>721</v>
      </c>
      <c r="B585" s="5">
        <v>45877</v>
      </c>
      <c r="C585" t="s">
        <v>44</v>
      </c>
      <c r="D585" t="s">
        <v>28</v>
      </c>
      <c r="E585" t="s">
        <v>29</v>
      </c>
      <c r="F585">
        <v>1</v>
      </c>
      <c r="G585" s="1">
        <v>24</v>
      </c>
      <c r="H585" s="1">
        <v>9</v>
      </c>
      <c r="I585" s="5">
        <v>45881</v>
      </c>
      <c r="J585" t="s">
        <v>101</v>
      </c>
      <c r="K585" t="s">
        <v>35</v>
      </c>
      <c r="L585" t="s">
        <v>25</v>
      </c>
      <c r="M585" s="1">
        <f>(orders[[#This Row],[Revenue]]-orders[[#This Row],[Cost]])</f>
        <v>15</v>
      </c>
      <c r="N585" s="8">
        <f>IFERROR(orders[[#This Row],[profit]]/orders[[#This Row],[Revenue]],0)</f>
        <v>0.625</v>
      </c>
      <c r="O585">
        <f>IF(orders[[#This Row],[Delivery Date]]="","",(orders[[#This Row],[Delivery Date]]-orders[[#This Row],[Date]]))</f>
        <v>4</v>
      </c>
      <c r="P585" t="str">
        <f>IF(orders[[#This Row],[delivery days]]="","Not Delivered",IF(orders[[#This Row],[delivery days]]&lt;=2,"Fast",IF(orders[[#This Row],[delivery days]]&lt;=5,"Normal","Delayed")))</f>
        <v>Normal</v>
      </c>
    </row>
    <row r="586" spans="1:16" x14ac:dyDescent="0.25">
      <c r="A586" t="s">
        <v>722</v>
      </c>
      <c r="B586" s="5">
        <v>45878</v>
      </c>
      <c r="C586" t="s">
        <v>210</v>
      </c>
      <c r="D586" t="s">
        <v>65</v>
      </c>
      <c r="E586" t="s">
        <v>62</v>
      </c>
      <c r="F586">
        <v>3</v>
      </c>
      <c r="G586" s="1">
        <v>144</v>
      </c>
      <c r="H586" s="1">
        <v>63</v>
      </c>
      <c r="I586" s="5"/>
      <c r="J586" t="s">
        <v>46</v>
      </c>
      <c r="K586" t="s">
        <v>24</v>
      </c>
      <c r="L586" t="s">
        <v>103</v>
      </c>
      <c r="M586" s="1">
        <f>(orders[[#This Row],[Revenue]]-orders[[#This Row],[Cost]])</f>
        <v>81</v>
      </c>
      <c r="N586" s="8">
        <f>IFERROR(orders[[#This Row],[profit]]/orders[[#This Row],[Revenue]],0)</f>
        <v>0.5625</v>
      </c>
      <c r="O586" t="str">
        <f>IF(orders[[#This Row],[Delivery Date]]="","",(orders[[#This Row],[Delivery Date]]-orders[[#This Row],[Date]]))</f>
        <v/>
      </c>
      <c r="P586" t="str">
        <f>IF(orders[[#This Row],[delivery days]]="","Not Delivered",IF(orders[[#This Row],[delivery days]]&lt;=2,"Fast",IF(orders[[#This Row],[delivery days]]&lt;=5,"Normal","Delayed")))</f>
        <v>Not Delivered</v>
      </c>
    </row>
    <row r="587" spans="1:16" x14ac:dyDescent="0.25">
      <c r="A587" t="s">
        <v>723</v>
      </c>
      <c r="B587" s="5">
        <v>45878</v>
      </c>
      <c r="C587" t="s">
        <v>79</v>
      </c>
      <c r="D587" t="s">
        <v>300</v>
      </c>
      <c r="E587" t="s">
        <v>77</v>
      </c>
      <c r="F587">
        <v>1</v>
      </c>
      <c r="G587" s="1">
        <v>378.3</v>
      </c>
      <c r="H587" s="1">
        <v>245</v>
      </c>
      <c r="I587" s="5">
        <v>45883</v>
      </c>
      <c r="J587" t="s">
        <v>23</v>
      </c>
      <c r="K587" t="s">
        <v>24</v>
      </c>
      <c r="L587" t="s">
        <v>25</v>
      </c>
      <c r="M587" s="1">
        <f>(orders[[#This Row],[Revenue]]-orders[[#This Row],[Cost]])</f>
        <v>133.30000000000001</v>
      </c>
      <c r="N587" s="8">
        <f>IFERROR(orders[[#This Row],[profit]]/orders[[#This Row],[Revenue]],0)</f>
        <v>0.35236584721120806</v>
      </c>
      <c r="O587">
        <f>IF(orders[[#This Row],[Delivery Date]]="","",(orders[[#This Row],[Delivery Date]]-orders[[#This Row],[Date]]))</f>
        <v>5</v>
      </c>
      <c r="P587" t="str">
        <f>IF(orders[[#This Row],[delivery days]]="","Not Delivered",IF(orders[[#This Row],[delivery days]]&lt;=2,"Fast",IF(orders[[#This Row],[delivery days]]&lt;=5,"Normal","Delayed")))</f>
        <v>Normal</v>
      </c>
    </row>
    <row r="588" spans="1:16" x14ac:dyDescent="0.25">
      <c r="A588" t="s">
        <v>724</v>
      </c>
      <c r="B588" s="5">
        <v>45879</v>
      </c>
      <c r="C588" t="s">
        <v>32</v>
      </c>
      <c r="D588" t="s">
        <v>235</v>
      </c>
      <c r="E588" t="s">
        <v>15</v>
      </c>
      <c r="F588">
        <v>3</v>
      </c>
      <c r="G588" s="1">
        <v>195</v>
      </c>
      <c r="H588" s="1">
        <v>93</v>
      </c>
      <c r="I588" s="5"/>
      <c r="J588" t="s">
        <v>46</v>
      </c>
      <c r="K588" t="s">
        <v>24</v>
      </c>
      <c r="L588" t="s">
        <v>103</v>
      </c>
      <c r="M588" s="1">
        <f>(orders[[#This Row],[Revenue]]-orders[[#This Row],[Cost]])</f>
        <v>102</v>
      </c>
      <c r="N588" s="8">
        <f>IFERROR(orders[[#This Row],[profit]]/orders[[#This Row],[Revenue]],0)</f>
        <v>0.52307692307692311</v>
      </c>
      <c r="O588" t="str">
        <f>IF(orders[[#This Row],[Delivery Date]]="","",(orders[[#This Row],[Delivery Date]]-orders[[#This Row],[Date]]))</f>
        <v/>
      </c>
      <c r="P588" t="str">
        <f>IF(orders[[#This Row],[delivery days]]="","Not Delivered",IF(orders[[#This Row],[delivery days]]&lt;=2,"Fast",IF(orders[[#This Row],[delivery days]]&lt;=5,"Normal","Delayed")))</f>
        <v>Not Delivered</v>
      </c>
    </row>
    <row r="589" spans="1:16" x14ac:dyDescent="0.25">
      <c r="A589" t="s">
        <v>725</v>
      </c>
      <c r="B589" s="5">
        <v>45879</v>
      </c>
      <c r="C589" t="s">
        <v>269</v>
      </c>
      <c r="D589" t="s">
        <v>300</v>
      </c>
      <c r="E589" t="s">
        <v>77</v>
      </c>
      <c r="F589">
        <v>1</v>
      </c>
      <c r="G589" s="1">
        <v>401.7</v>
      </c>
      <c r="H589" s="1">
        <v>245</v>
      </c>
      <c r="I589" s="5">
        <v>45883</v>
      </c>
      <c r="J589" t="s">
        <v>101</v>
      </c>
      <c r="K589" t="s">
        <v>35</v>
      </c>
      <c r="L589" t="s">
        <v>25</v>
      </c>
      <c r="M589" s="1">
        <f>(orders[[#This Row],[Revenue]]-orders[[#This Row],[Cost]])</f>
        <v>156.69999999999999</v>
      </c>
      <c r="N589" s="8">
        <f>IFERROR(orders[[#This Row],[profit]]/orders[[#This Row],[Revenue]],0)</f>
        <v>0.39009210853871046</v>
      </c>
      <c r="O589">
        <f>IF(orders[[#This Row],[Delivery Date]]="","",(orders[[#This Row],[Delivery Date]]-orders[[#This Row],[Date]]))</f>
        <v>4</v>
      </c>
      <c r="P589" t="str">
        <f>IF(orders[[#This Row],[delivery days]]="","Not Delivered",IF(orders[[#This Row],[delivery days]]&lt;=2,"Fast",IF(orders[[#This Row],[delivery days]]&lt;=5,"Normal","Delayed")))</f>
        <v>Normal</v>
      </c>
    </row>
    <row r="590" spans="1:16" x14ac:dyDescent="0.25">
      <c r="A590" t="s">
        <v>726</v>
      </c>
      <c r="B590" s="5">
        <v>45879</v>
      </c>
      <c r="C590" t="s">
        <v>137</v>
      </c>
      <c r="D590" t="s">
        <v>65</v>
      </c>
      <c r="E590" t="s">
        <v>62</v>
      </c>
      <c r="F590">
        <v>1</v>
      </c>
      <c r="G590" s="1">
        <v>49.44</v>
      </c>
      <c r="H590" s="1">
        <v>21</v>
      </c>
      <c r="I590" s="5">
        <v>45882</v>
      </c>
      <c r="J590" t="s">
        <v>30</v>
      </c>
      <c r="K590" t="s">
        <v>17</v>
      </c>
      <c r="L590" t="s">
        <v>25</v>
      </c>
      <c r="M590" s="1">
        <f>(orders[[#This Row],[Revenue]]-orders[[#This Row],[Cost]])</f>
        <v>28.439999999999998</v>
      </c>
      <c r="N590" s="8">
        <f>IFERROR(orders[[#This Row],[profit]]/orders[[#This Row],[Revenue]],0)</f>
        <v>0.57524271844660191</v>
      </c>
      <c r="O590">
        <f>IF(orders[[#This Row],[Delivery Date]]="","",(orders[[#This Row],[Delivery Date]]-orders[[#This Row],[Date]]))</f>
        <v>3</v>
      </c>
      <c r="P590" t="str">
        <f>IF(orders[[#This Row],[delivery days]]="","Not Delivered",IF(orders[[#This Row],[delivery days]]&lt;=2,"Fast",IF(orders[[#This Row],[delivery days]]&lt;=5,"Normal","Delayed")))</f>
        <v>Normal</v>
      </c>
    </row>
    <row r="591" spans="1:16" x14ac:dyDescent="0.25">
      <c r="A591" t="s">
        <v>727</v>
      </c>
      <c r="B591" s="5">
        <v>45879</v>
      </c>
      <c r="C591" t="s">
        <v>79</v>
      </c>
      <c r="D591" t="s">
        <v>70</v>
      </c>
      <c r="E591" t="s">
        <v>62</v>
      </c>
      <c r="F591">
        <v>2</v>
      </c>
      <c r="G591" s="1">
        <v>248.4</v>
      </c>
      <c r="H591" s="1">
        <v>156</v>
      </c>
      <c r="I591" s="5">
        <v>45880</v>
      </c>
      <c r="J591" t="s">
        <v>30</v>
      </c>
      <c r="K591" t="s">
        <v>35</v>
      </c>
      <c r="L591" t="s">
        <v>25</v>
      </c>
      <c r="M591" s="1">
        <f>(orders[[#This Row],[Revenue]]-orders[[#This Row],[Cost]])</f>
        <v>92.4</v>
      </c>
      <c r="N591" s="8">
        <f>IFERROR(orders[[#This Row],[profit]]/orders[[#This Row],[Revenue]],0)</f>
        <v>0.37198067632850246</v>
      </c>
      <c r="O591">
        <f>IF(orders[[#This Row],[Delivery Date]]="","",(orders[[#This Row],[Delivery Date]]-orders[[#This Row],[Date]]))</f>
        <v>1</v>
      </c>
      <c r="P591" t="str">
        <f>IF(orders[[#This Row],[delivery days]]="","Not Delivered",IF(orders[[#This Row],[delivery days]]&lt;=2,"Fast",IF(orders[[#This Row],[delivery days]]&lt;=5,"Normal","Delayed")))</f>
        <v>Fast</v>
      </c>
    </row>
    <row r="592" spans="1:16" x14ac:dyDescent="0.25">
      <c r="A592" t="s">
        <v>728</v>
      </c>
      <c r="B592" s="5">
        <v>45880</v>
      </c>
      <c r="C592" t="s">
        <v>116</v>
      </c>
      <c r="D592" t="s">
        <v>308</v>
      </c>
      <c r="E592" t="s">
        <v>22</v>
      </c>
      <c r="F592">
        <v>1</v>
      </c>
      <c r="G592" s="1">
        <v>75</v>
      </c>
      <c r="H592" s="1">
        <v>34.68</v>
      </c>
      <c r="I592" s="5"/>
      <c r="J592" t="s">
        <v>46</v>
      </c>
      <c r="K592" t="s">
        <v>47</v>
      </c>
      <c r="L592" t="s">
        <v>103</v>
      </c>
      <c r="M592" s="1">
        <f>(orders[[#This Row],[Revenue]]-orders[[#This Row],[Cost]])</f>
        <v>40.32</v>
      </c>
      <c r="N592" s="8">
        <f>IFERROR(orders[[#This Row],[profit]]/orders[[#This Row],[Revenue]],0)</f>
        <v>0.53759999999999997</v>
      </c>
      <c r="O592" t="str">
        <f>IF(orders[[#This Row],[Delivery Date]]="","",(orders[[#This Row],[Delivery Date]]-orders[[#This Row],[Date]]))</f>
        <v/>
      </c>
      <c r="P592" t="str">
        <f>IF(orders[[#This Row],[delivery days]]="","Not Delivered",IF(orders[[#This Row],[delivery days]]&lt;=2,"Fast",IF(orders[[#This Row],[delivery days]]&lt;=5,"Normal","Delayed")))</f>
        <v>Not Delivered</v>
      </c>
    </row>
    <row r="593" spans="1:16" x14ac:dyDescent="0.25">
      <c r="A593" t="s">
        <v>729</v>
      </c>
      <c r="B593" s="5">
        <v>45881</v>
      </c>
      <c r="C593" t="s">
        <v>37</v>
      </c>
      <c r="D593" t="s">
        <v>219</v>
      </c>
      <c r="E593" t="s">
        <v>34</v>
      </c>
      <c r="F593">
        <v>2</v>
      </c>
      <c r="G593" s="1">
        <v>56</v>
      </c>
      <c r="H593" s="1">
        <v>22</v>
      </c>
      <c r="I593" s="5">
        <v>45882</v>
      </c>
      <c r="J593" t="s">
        <v>30</v>
      </c>
      <c r="K593" t="s">
        <v>35</v>
      </c>
      <c r="L593" t="s">
        <v>25</v>
      </c>
      <c r="M593" s="1">
        <f>(orders[[#This Row],[Revenue]]-orders[[#This Row],[Cost]])</f>
        <v>34</v>
      </c>
      <c r="N593" s="8">
        <f>IFERROR(orders[[#This Row],[profit]]/orders[[#This Row],[Revenue]],0)</f>
        <v>0.6071428571428571</v>
      </c>
      <c r="O593">
        <f>IF(orders[[#This Row],[Delivery Date]]="","",(orders[[#This Row],[Delivery Date]]-orders[[#This Row],[Date]]))</f>
        <v>1</v>
      </c>
      <c r="P593" t="str">
        <f>IF(orders[[#This Row],[delivery days]]="","Not Delivered",IF(orders[[#This Row],[delivery days]]&lt;=2,"Fast",IF(orders[[#This Row],[delivery days]]&lt;=5,"Normal","Delayed")))</f>
        <v>Fast</v>
      </c>
    </row>
    <row r="594" spans="1:16" x14ac:dyDescent="0.25">
      <c r="A594" t="s">
        <v>730</v>
      </c>
      <c r="B594" s="5">
        <v>45881</v>
      </c>
      <c r="C594" t="s">
        <v>49</v>
      </c>
      <c r="D594" t="s">
        <v>58</v>
      </c>
      <c r="E594" t="s">
        <v>39</v>
      </c>
      <c r="F594">
        <v>1</v>
      </c>
      <c r="G594" s="1">
        <v>1250</v>
      </c>
      <c r="H594" s="1">
        <v>900</v>
      </c>
      <c r="I594" s="5">
        <v>45883</v>
      </c>
      <c r="J594" t="s">
        <v>46</v>
      </c>
      <c r="K594" t="s">
        <v>47</v>
      </c>
      <c r="L594" t="s">
        <v>25</v>
      </c>
      <c r="M594" s="1">
        <f>(orders[[#This Row],[Revenue]]-orders[[#This Row],[Cost]])</f>
        <v>350</v>
      </c>
      <c r="N594" s="8">
        <f>IFERROR(orders[[#This Row],[profit]]/orders[[#This Row],[Revenue]],0)</f>
        <v>0.28000000000000003</v>
      </c>
      <c r="O594">
        <f>IF(orders[[#This Row],[Delivery Date]]="","",(orders[[#This Row],[Delivery Date]]-orders[[#This Row],[Date]]))</f>
        <v>2</v>
      </c>
      <c r="P594" t="str">
        <f>IF(orders[[#This Row],[delivery days]]="","Not Delivered",IF(orders[[#This Row],[delivery days]]&lt;=2,"Fast",IF(orders[[#This Row],[delivery days]]&lt;=5,"Normal","Delayed")))</f>
        <v>Fast</v>
      </c>
    </row>
    <row r="595" spans="1:16" x14ac:dyDescent="0.25">
      <c r="A595" t="s">
        <v>731</v>
      </c>
      <c r="B595" s="5">
        <v>45881</v>
      </c>
      <c r="C595" t="s">
        <v>243</v>
      </c>
      <c r="D595" t="s">
        <v>100</v>
      </c>
      <c r="E595" t="s">
        <v>34</v>
      </c>
      <c r="F595">
        <v>5</v>
      </c>
      <c r="G595" s="1">
        <v>260</v>
      </c>
      <c r="H595" s="1">
        <v>115</v>
      </c>
      <c r="I595" s="5">
        <v>45884</v>
      </c>
      <c r="J595" t="s">
        <v>101</v>
      </c>
      <c r="K595" t="s">
        <v>35</v>
      </c>
      <c r="L595" t="s">
        <v>25</v>
      </c>
      <c r="M595" s="1">
        <f>(orders[[#This Row],[Revenue]]-orders[[#This Row],[Cost]])</f>
        <v>145</v>
      </c>
      <c r="N595" s="8">
        <f>IFERROR(orders[[#This Row],[profit]]/orders[[#This Row],[Revenue]],0)</f>
        <v>0.55769230769230771</v>
      </c>
      <c r="O595">
        <f>IF(orders[[#This Row],[Delivery Date]]="","",(orders[[#This Row],[Delivery Date]]-orders[[#This Row],[Date]]))</f>
        <v>3</v>
      </c>
      <c r="P595" t="str">
        <f>IF(orders[[#This Row],[delivery days]]="","Not Delivered",IF(orders[[#This Row],[delivery days]]&lt;=2,"Fast",IF(orders[[#This Row],[delivery days]]&lt;=5,"Normal","Delayed")))</f>
        <v>Normal</v>
      </c>
    </row>
    <row r="596" spans="1:16" x14ac:dyDescent="0.25">
      <c r="A596" t="s">
        <v>732</v>
      </c>
      <c r="B596" s="5">
        <v>45881</v>
      </c>
      <c r="C596" t="s">
        <v>92</v>
      </c>
      <c r="D596" t="s">
        <v>86</v>
      </c>
      <c r="E596" t="s">
        <v>29</v>
      </c>
      <c r="F596">
        <v>2</v>
      </c>
      <c r="G596" s="1">
        <v>58</v>
      </c>
      <c r="H596" s="1">
        <v>24</v>
      </c>
      <c r="I596" s="5">
        <v>45883</v>
      </c>
      <c r="J596" t="s">
        <v>46</v>
      </c>
      <c r="K596" t="s">
        <v>24</v>
      </c>
      <c r="L596" t="s">
        <v>25</v>
      </c>
      <c r="M596" s="1">
        <f>(orders[[#This Row],[Revenue]]-orders[[#This Row],[Cost]])</f>
        <v>34</v>
      </c>
      <c r="N596" s="8">
        <f>IFERROR(orders[[#This Row],[profit]]/orders[[#This Row],[Revenue]],0)</f>
        <v>0.58620689655172409</v>
      </c>
      <c r="O596">
        <f>IF(orders[[#This Row],[Delivery Date]]="","",(orders[[#This Row],[Delivery Date]]-orders[[#This Row],[Date]]))</f>
        <v>2</v>
      </c>
      <c r="P596" t="str">
        <f>IF(orders[[#This Row],[delivery days]]="","Not Delivered",IF(orders[[#This Row],[delivery days]]&lt;=2,"Fast",IF(orders[[#This Row],[delivery days]]&lt;=5,"Normal","Delayed")))</f>
        <v>Fast</v>
      </c>
    </row>
    <row r="597" spans="1:16" x14ac:dyDescent="0.25">
      <c r="A597" t="s">
        <v>733</v>
      </c>
      <c r="B597" s="5">
        <v>45881</v>
      </c>
      <c r="C597" t="s">
        <v>27</v>
      </c>
      <c r="D597" t="s">
        <v>177</v>
      </c>
      <c r="E597" t="s">
        <v>34</v>
      </c>
      <c r="F597">
        <v>2</v>
      </c>
      <c r="G597" s="1">
        <v>298.7</v>
      </c>
      <c r="H597" s="1">
        <v>156</v>
      </c>
      <c r="I597" s="5">
        <v>45885</v>
      </c>
      <c r="J597" t="s">
        <v>16</v>
      </c>
      <c r="K597" t="s">
        <v>17</v>
      </c>
      <c r="L597" t="s">
        <v>25</v>
      </c>
      <c r="M597" s="1">
        <f>(orders[[#This Row],[Revenue]]-orders[[#This Row],[Cost]])</f>
        <v>142.69999999999999</v>
      </c>
      <c r="N597" s="8">
        <f>IFERROR(orders[[#This Row],[profit]]/orders[[#This Row],[Revenue]],0)</f>
        <v>0.47773685972547703</v>
      </c>
      <c r="O597">
        <f>IF(orders[[#This Row],[Delivery Date]]="","",(orders[[#This Row],[Delivery Date]]-orders[[#This Row],[Date]]))</f>
        <v>4</v>
      </c>
      <c r="P597" t="str">
        <f>IF(orders[[#This Row],[delivery days]]="","Not Delivered",IF(orders[[#This Row],[delivery days]]&lt;=2,"Fast",IF(orders[[#This Row],[delivery days]]&lt;=5,"Normal","Delayed")))</f>
        <v>Normal</v>
      </c>
    </row>
    <row r="598" spans="1:16" x14ac:dyDescent="0.25">
      <c r="A598" t="s">
        <v>734</v>
      </c>
      <c r="B598" s="5">
        <v>45882</v>
      </c>
      <c r="C598" t="s">
        <v>79</v>
      </c>
      <c r="D598" t="s">
        <v>215</v>
      </c>
      <c r="E598" t="s">
        <v>62</v>
      </c>
      <c r="F598">
        <v>3</v>
      </c>
      <c r="G598" s="1">
        <v>679.8</v>
      </c>
      <c r="H598" s="1">
        <v>426</v>
      </c>
      <c r="I598" s="5">
        <v>45885</v>
      </c>
      <c r="J598" t="s">
        <v>30</v>
      </c>
      <c r="K598" t="s">
        <v>35</v>
      </c>
      <c r="L598" t="s">
        <v>18</v>
      </c>
      <c r="M598" s="1">
        <f>(orders[[#This Row],[Revenue]]-orders[[#This Row],[Cost]])</f>
        <v>253.79999999999995</v>
      </c>
      <c r="N598" s="8">
        <f>IFERROR(orders[[#This Row],[profit]]/orders[[#This Row],[Revenue]],0)</f>
        <v>0.37334510150044126</v>
      </c>
      <c r="O598">
        <f>IF(orders[[#This Row],[Delivery Date]]="","",(orders[[#This Row],[Delivery Date]]-orders[[#This Row],[Date]]))</f>
        <v>3</v>
      </c>
      <c r="P598" t="str">
        <f>IF(orders[[#This Row],[delivery days]]="","Not Delivered",IF(orders[[#This Row],[delivery days]]&lt;=2,"Fast",IF(orders[[#This Row],[delivery days]]&lt;=5,"Normal","Delayed")))</f>
        <v>Normal</v>
      </c>
    </row>
    <row r="599" spans="1:16" x14ac:dyDescent="0.25">
      <c r="A599" t="s">
        <v>735</v>
      </c>
      <c r="B599" s="5">
        <v>45883</v>
      </c>
      <c r="C599" t="s">
        <v>139</v>
      </c>
      <c r="D599" t="s">
        <v>58</v>
      </c>
      <c r="E599" t="s">
        <v>39</v>
      </c>
      <c r="F599">
        <v>1</v>
      </c>
      <c r="G599" s="1">
        <v>1250</v>
      </c>
      <c r="H599" s="1">
        <v>900</v>
      </c>
      <c r="I599" s="5">
        <v>45885</v>
      </c>
      <c r="J599" t="s">
        <v>101</v>
      </c>
      <c r="K599" t="s">
        <v>35</v>
      </c>
      <c r="L599" t="s">
        <v>25</v>
      </c>
      <c r="M599" s="1">
        <f>(orders[[#This Row],[Revenue]]-orders[[#This Row],[Cost]])</f>
        <v>350</v>
      </c>
      <c r="N599" s="8">
        <f>IFERROR(orders[[#This Row],[profit]]/orders[[#This Row],[Revenue]],0)</f>
        <v>0.28000000000000003</v>
      </c>
      <c r="O599">
        <f>IF(orders[[#This Row],[Delivery Date]]="","",(orders[[#This Row],[Delivery Date]]-orders[[#This Row],[Date]]))</f>
        <v>2</v>
      </c>
      <c r="P599" t="str">
        <f>IF(orders[[#This Row],[delivery days]]="","Not Delivered",IF(orders[[#This Row],[delivery days]]&lt;=2,"Fast",IF(orders[[#This Row],[delivery days]]&lt;=5,"Normal","Delayed")))</f>
        <v>Fast</v>
      </c>
    </row>
    <row r="600" spans="1:16" x14ac:dyDescent="0.25">
      <c r="A600" t="s">
        <v>736</v>
      </c>
      <c r="B600" s="5">
        <v>45884</v>
      </c>
      <c r="C600" t="s">
        <v>54</v>
      </c>
      <c r="D600" t="s">
        <v>215</v>
      </c>
      <c r="E600" t="s">
        <v>62</v>
      </c>
      <c r="F600">
        <v>1</v>
      </c>
      <c r="G600" s="1">
        <v>237.6</v>
      </c>
      <c r="H600" s="1">
        <v>142</v>
      </c>
      <c r="I600" s="5">
        <v>45887</v>
      </c>
      <c r="J600" t="s">
        <v>101</v>
      </c>
      <c r="K600" t="s">
        <v>35</v>
      </c>
      <c r="L600" t="s">
        <v>25</v>
      </c>
      <c r="M600" s="1">
        <f>(orders[[#This Row],[Revenue]]-orders[[#This Row],[Cost]])</f>
        <v>95.6</v>
      </c>
      <c r="N600" s="8">
        <f>IFERROR(orders[[#This Row],[profit]]/orders[[#This Row],[Revenue]],0)</f>
        <v>0.40235690235690236</v>
      </c>
      <c r="O600">
        <f>IF(orders[[#This Row],[Delivery Date]]="","",(orders[[#This Row],[Delivery Date]]-orders[[#This Row],[Date]]))</f>
        <v>3</v>
      </c>
      <c r="P600" t="str">
        <f>IF(orders[[#This Row],[delivery days]]="","Not Delivered",IF(orders[[#This Row],[delivery days]]&lt;=2,"Fast",IF(orders[[#This Row],[delivery days]]&lt;=5,"Normal","Delayed")))</f>
        <v>Normal</v>
      </c>
    </row>
    <row r="601" spans="1:16" x14ac:dyDescent="0.25">
      <c r="A601" t="s">
        <v>737</v>
      </c>
      <c r="B601" s="5">
        <v>45884</v>
      </c>
      <c r="C601" t="s">
        <v>44</v>
      </c>
      <c r="D601" t="s">
        <v>28</v>
      </c>
      <c r="E601" t="s">
        <v>29</v>
      </c>
      <c r="F601">
        <v>1</v>
      </c>
      <c r="G601" s="1">
        <v>22.08</v>
      </c>
      <c r="H601" s="1">
        <v>8.82</v>
      </c>
      <c r="I601" s="5">
        <v>45888</v>
      </c>
      <c r="J601" t="s">
        <v>101</v>
      </c>
      <c r="K601" t="s">
        <v>35</v>
      </c>
      <c r="L601" t="s">
        <v>25</v>
      </c>
      <c r="M601" s="1">
        <f>(orders[[#This Row],[Revenue]]-orders[[#This Row],[Cost]])</f>
        <v>13.259999999999998</v>
      </c>
      <c r="N601" s="8">
        <f>IFERROR(orders[[#This Row],[profit]]/orders[[#This Row],[Revenue]],0)</f>
        <v>0.60054347826086951</v>
      </c>
      <c r="O601">
        <f>IF(orders[[#This Row],[Delivery Date]]="","",(orders[[#This Row],[Delivery Date]]-orders[[#This Row],[Date]]))</f>
        <v>4</v>
      </c>
      <c r="P601" t="str">
        <f>IF(orders[[#This Row],[delivery days]]="","Not Delivered",IF(orders[[#This Row],[delivery days]]&lt;=2,"Fast",IF(orders[[#This Row],[delivery days]]&lt;=5,"Normal","Delayed")))</f>
        <v>Normal</v>
      </c>
    </row>
    <row r="602" spans="1:16" x14ac:dyDescent="0.25">
      <c r="A602" t="s">
        <v>738</v>
      </c>
      <c r="B602" s="5">
        <v>45884</v>
      </c>
      <c r="C602" t="s">
        <v>228</v>
      </c>
      <c r="D602" t="s">
        <v>270</v>
      </c>
      <c r="E602" t="s">
        <v>39</v>
      </c>
      <c r="F602">
        <v>1</v>
      </c>
      <c r="G602" s="1">
        <v>43.65</v>
      </c>
      <c r="H602" s="1">
        <v>21.56</v>
      </c>
      <c r="I602" s="5">
        <v>45886</v>
      </c>
      <c r="J602" t="s">
        <v>30</v>
      </c>
      <c r="K602" t="s">
        <v>17</v>
      </c>
      <c r="L602" t="s">
        <v>25</v>
      </c>
      <c r="M602" s="1">
        <f>(orders[[#This Row],[Revenue]]-orders[[#This Row],[Cost]])</f>
        <v>22.09</v>
      </c>
      <c r="N602" s="8">
        <f>IFERROR(orders[[#This Row],[profit]]/orders[[#This Row],[Revenue]],0)</f>
        <v>0.50607101947308131</v>
      </c>
      <c r="O602">
        <f>IF(orders[[#This Row],[Delivery Date]]="","",(orders[[#This Row],[Delivery Date]]-orders[[#This Row],[Date]]))</f>
        <v>2</v>
      </c>
      <c r="P602" t="str">
        <f>IF(orders[[#This Row],[delivery days]]="","Not Delivered",IF(orders[[#This Row],[delivery days]]&lt;=2,"Fast",IF(orders[[#This Row],[delivery days]]&lt;=5,"Normal","Delayed")))</f>
        <v>Fast</v>
      </c>
    </row>
    <row r="603" spans="1:16" x14ac:dyDescent="0.25">
      <c r="A603" t="s">
        <v>739</v>
      </c>
      <c r="B603" s="5">
        <v>45884</v>
      </c>
      <c r="C603" t="s">
        <v>72</v>
      </c>
      <c r="D603" t="s">
        <v>179</v>
      </c>
      <c r="E603" t="s">
        <v>34</v>
      </c>
      <c r="F603">
        <v>1</v>
      </c>
      <c r="G603" s="1">
        <v>41.4</v>
      </c>
      <c r="H603" s="1">
        <v>19</v>
      </c>
      <c r="I603" s="5">
        <v>45886</v>
      </c>
      <c r="J603" t="s">
        <v>30</v>
      </c>
      <c r="K603" t="s">
        <v>17</v>
      </c>
      <c r="L603" t="s">
        <v>25</v>
      </c>
      <c r="M603" s="1">
        <f>(orders[[#This Row],[Revenue]]-orders[[#This Row],[Cost]])</f>
        <v>22.4</v>
      </c>
      <c r="N603" s="8">
        <f>IFERROR(orders[[#This Row],[profit]]/orders[[#This Row],[Revenue]],0)</f>
        <v>0.54106280193236711</v>
      </c>
      <c r="O603">
        <f>IF(orders[[#This Row],[Delivery Date]]="","",(orders[[#This Row],[Delivery Date]]-orders[[#This Row],[Date]]))</f>
        <v>2</v>
      </c>
      <c r="P603" t="str">
        <f>IF(orders[[#This Row],[delivery days]]="","Not Delivered",IF(orders[[#This Row],[delivery days]]&lt;=2,"Fast",IF(orders[[#This Row],[delivery days]]&lt;=5,"Normal","Delayed")))</f>
        <v>Fast</v>
      </c>
    </row>
    <row r="604" spans="1:16" x14ac:dyDescent="0.25">
      <c r="A604" t="s">
        <v>740</v>
      </c>
      <c r="B604" s="5">
        <v>45884</v>
      </c>
      <c r="C604" t="s">
        <v>116</v>
      </c>
      <c r="D604" t="s">
        <v>61</v>
      </c>
      <c r="E604" t="s">
        <v>62</v>
      </c>
      <c r="F604">
        <v>1</v>
      </c>
      <c r="G604" s="1">
        <v>32</v>
      </c>
      <c r="H604" s="1">
        <v>14.28</v>
      </c>
      <c r="I604" s="5"/>
      <c r="J604" t="s">
        <v>23</v>
      </c>
      <c r="K604" t="s">
        <v>17</v>
      </c>
      <c r="L604" t="s">
        <v>42</v>
      </c>
      <c r="M604" s="1">
        <f>(orders[[#This Row],[Revenue]]-orders[[#This Row],[Cost]])</f>
        <v>17.72</v>
      </c>
      <c r="N604" s="8">
        <f>IFERROR(orders[[#This Row],[profit]]/orders[[#This Row],[Revenue]],0)</f>
        <v>0.55374999999999996</v>
      </c>
      <c r="O604" t="str">
        <f>IF(orders[[#This Row],[Delivery Date]]="","",(orders[[#This Row],[Delivery Date]]-orders[[#This Row],[Date]]))</f>
        <v/>
      </c>
      <c r="P604" t="str">
        <f>IF(orders[[#This Row],[delivery days]]="","Not Delivered",IF(orders[[#This Row],[delivery days]]&lt;=2,"Fast",IF(orders[[#This Row],[delivery days]]&lt;=5,"Normal","Delayed")))</f>
        <v>Not Delivered</v>
      </c>
    </row>
    <row r="605" spans="1:16" x14ac:dyDescent="0.25">
      <c r="A605" t="s">
        <v>741</v>
      </c>
      <c r="B605" s="5">
        <v>45885</v>
      </c>
      <c r="C605" t="s">
        <v>124</v>
      </c>
      <c r="D605" t="s">
        <v>163</v>
      </c>
      <c r="E605" t="s">
        <v>39</v>
      </c>
      <c r="F605">
        <v>2</v>
      </c>
      <c r="G605" s="1">
        <v>184.3</v>
      </c>
      <c r="H605" s="1">
        <v>104</v>
      </c>
      <c r="I605" s="5">
        <v>45887</v>
      </c>
      <c r="J605" t="s">
        <v>46</v>
      </c>
      <c r="K605" t="s">
        <v>47</v>
      </c>
      <c r="L605" t="s">
        <v>25</v>
      </c>
      <c r="M605" s="1">
        <f>(orders[[#This Row],[Revenue]]-orders[[#This Row],[Cost]])</f>
        <v>80.300000000000011</v>
      </c>
      <c r="N605" s="8">
        <f>IFERROR(orders[[#This Row],[profit]]/orders[[#This Row],[Revenue]],0)</f>
        <v>0.43570265870862729</v>
      </c>
      <c r="O605">
        <f>IF(orders[[#This Row],[Delivery Date]]="","",(orders[[#This Row],[Delivery Date]]-orders[[#This Row],[Date]]))</f>
        <v>2</v>
      </c>
      <c r="P605" t="str">
        <f>IF(orders[[#This Row],[delivery days]]="","Not Delivered",IF(orders[[#This Row],[delivery days]]&lt;=2,"Fast",IF(orders[[#This Row],[delivery days]]&lt;=5,"Normal","Delayed")))</f>
        <v>Fast</v>
      </c>
    </row>
    <row r="606" spans="1:16" x14ac:dyDescent="0.25">
      <c r="A606" t="s">
        <v>742</v>
      </c>
      <c r="B606" s="5">
        <v>45885</v>
      </c>
      <c r="C606" t="s">
        <v>32</v>
      </c>
      <c r="D606" t="s">
        <v>270</v>
      </c>
      <c r="E606" t="s">
        <v>39</v>
      </c>
      <c r="F606">
        <v>5</v>
      </c>
      <c r="G606" s="1">
        <v>225</v>
      </c>
      <c r="H606" s="1">
        <v>110</v>
      </c>
      <c r="I606" s="5">
        <v>45890</v>
      </c>
      <c r="J606" t="s">
        <v>16</v>
      </c>
      <c r="K606" t="s">
        <v>35</v>
      </c>
      <c r="L606" t="s">
        <v>25</v>
      </c>
      <c r="M606" s="1">
        <f>(orders[[#This Row],[Revenue]]-orders[[#This Row],[Cost]])</f>
        <v>115</v>
      </c>
      <c r="N606" s="8">
        <f>IFERROR(orders[[#This Row],[profit]]/orders[[#This Row],[Revenue]],0)</f>
        <v>0.51111111111111107</v>
      </c>
      <c r="O606">
        <f>IF(orders[[#This Row],[Delivery Date]]="","",(orders[[#This Row],[Delivery Date]]-orders[[#This Row],[Date]]))</f>
        <v>5</v>
      </c>
      <c r="P606" t="str">
        <f>IF(orders[[#This Row],[delivery days]]="","Not Delivered",IF(orders[[#This Row],[delivery days]]&lt;=2,"Fast",IF(orders[[#This Row],[delivery days]]&lt;=5,"Normal","Delayed")))</f>
        <v>Normal</v>
      </c>
    </row>
    <row r="607" spans="1:16" x14ac:dyDescent="0.25">
      <c r="A607" t="s">
        <v>743</v>
      </c>
      <c r="B607" s="5">
        <v>45885</v>
      </c>
      <c r="C607" t="s">
        <v>174</v>
      </c>
      <c r="D607" t="s">
        <v>125</v>
      </c>
      <c r="E607" t="s">
        <v>62</v>
      </c>
      <c r="F607">
        <v>1</v>
      </c>
      <c r="G607" s="1">
        <v>140.65</v>
      </c>
      <c r="H607" s="1">
        <v>82</v>
      </c>
      <c r="I607" s="5">
        <v>45887</v>
      </c>
      <c r="J607" t="s">
        <v>30</v>
      </c>
      <c r="K607" t="s">
        <v>35</v>
      </c>
      <c r="L607" t="s">
        <v>25</v>
      </c>
      <c r="M607" s="1">
        <f>(orders[[#This Row],[Revenue]]-orders[[#This Row],[Cost]])</f>
        <v>58.650000000000006</v>
      </c>
      <c r="N607" s="8">
        <f>IFERROR(orders[[#This Row],[profit]]/orders[[#This Row],[Revenue]],0)</f>
        <v>0.41699253466050484</v>
      </c>
      <c r="O607">
        <f>IF(orders[[#This Row],[Delivery Date]]="","",(orders[[#This Row],[Delivery Date]]-orders[[#This Row],[Date]]))</f>
        <v>2</v>
      </c>
      <c r="P607" t="str">
        <f>IF(orders[[#This Row],[delivery days]]="","Not Delivered",IF(orders[[#This Row],[delivery days]]&lt;=2,"Fast",IF(orders[[#This Row],[delivery days]]&lt;=5,"Normal","Delayed")))</f>
        <v>Fast</v>
      </c>
    </row>
    <row r="608" spans="1:16" x14ac:dyDescent="0.25">
      <c r="A608" t="s">
        <v>744</v>
      </c>
      <c r="B608" s="5">
        <v>45885</v>
      </c>
      <c r="C608" t="s">
        <v>64</v>
      </c>
      <c r="D608" t="s">
        <v>153</v>
      </c>
      <c r="E608" t="s">
        <v>34</v>
      </c>
      <c r="F608">
        <v>1</v>
      </c>
      <c r="G608" s="1">
        <v>68</v>
      </c>
      <c r="H608" s="1">
        <v>32.64</v>
      </c>
      <c r="I608" s="5">
        <v>45886</v>
      </c>
      <c r="J608" t="s">
        <v>16</v>
      </c>
      <c r="K608" t="s">
        <v>35</v>
      </c>
      <c r="L608" t="s">
        <v>25</v>
      </c>
      <c r="M608" s="1">
        <f>(orders[[#This Row],[Revenue]]-orders[[#This Row],[Cost]])</f>
        <v>35.36</v>
      </c>
      <c r="N608" s="8">
        <f>IFERROR(orders[[#This Row],[profit]]/orders[[#This Row],[Revenue]],0)</f>
        <v>0.52</v>
      </c>
      <c r="O608">
        <f>IF(orders[[#This Row],[Delivery Date]]="","",(orders[[#This Row],[Delivery Date]]-orders[[#This Row],[Date]]))</f>
        <v>1</v>
      </c>
      <c r="P608" t="str">
        <f>IF(orders[[#This Row],[delivery days]]="","Not Delivered",IF(orders[[#This Row],[delivery days]]&lt;=2,"Fast",IF(orders[[#This Row],[delivery days]]&lt;=5,"Normal","Delayed")))</f>
        <v>Fast</v>
      </c>
    </row>
    <row r="609" spans="1:16" x14ac:dyDescent="0.25">
      <c r="A609" t="s">
        <v>745</v>
      </c>
      <c r="B609" s="5">
        <v>45885</v>
      </c>
      <c r="C609" t="s">
        <v>57</v>
      </c>
      <c r="D609" t="s">
        <v>219</v>
      </c>
      <c r="E609" t="s">
        <v>34</v>
      </c>
      <c r="F609">
        <v>1</v>
      </c>
      <c r="G609" s="1">
        <v>30.24</v>
      </c>
      <c r="H609" s="1">
        <v>11</v>
      </c>
      <c r="I609" s="5">
        <v>45888</v>
      </c>
      <c r="J609" t="s">
        <v>16</v>
      </c>
      <c r="K609" t="s">
        <v>35</v>
      </c>
      <c r="L609" t="s">
        <v>25</v>
      </c>
      <c r="M609" s="1">
        <f>(orders[[#This Row],[Revenue]]-orders[[#This Row],[Cost]])</f>
        <v>19.239999999999998</v>
      </c>
      <c r="N609" s="8">
        <f>IFERROR(orders[[#This Row],[profit]]/orders[[#This Row],[Revenue]],0)</f>
        <v>0.63624338624338628</v>
      </c>
      <c r="O609">
        <f>IF(orders[[#This Row],[Delivery Date]]="","",(orders[[#This Row],[Delivery Date]]-orders[[#This Row],[Date]]))</f>
        <v>3</v>
      </c>
      <c r="P609" t="str">
        <f>IF(orders[[#This Row],[delivery days]]="","Not Delivered",IF(orders[[#This Row],[delivery days]]&lt;=2,"Fast",IF(orders[[#This Row],[delivery days]]&lt;=5,"Normal","Delayed")))</f>
        <v>Normal</v>
      </c>
    </row>
    <row r="610" spans="1:16" x14ac:dyDescent="0.25">
      <c r="A610" t="s">
        <v>746</v>
      </c>
      <c r="B610" s="5">
        <v>45886</v>
      </c>
      <c r="C610" t="s">
        <v>82</v>
      </c>
      <c r="D610" t="s">
        <v>208</v>
      </c>
      <c r="E610" t="s">
        <v>15</v>
      </c>
      <c r="F610">
        <v>2</v>
      </c>
      <c r="G610" s="1">
        <v>260</v>
      </c>
      <c r="H610" s="1">
        <v>152</v>
      </c>
      <c r="I610" s="5">
        <v>45889</v>
      </c>
      <c r="J610" t="s">
        <v>16</v>
      </c>
      <c r="K610" t="s">
        <v>17</v>
      </c>
      <c r="L610" t="s">
        <v>25</v>
      </c>
      <c r="M610" s="1">
        <f>(orders[[#This Row],[Revenue]]-orders[[#This Row],[Cost]])</f>
        <v>108</v>
      </c>
      <c r="N610" s="8">
        <f>IFERROR(orders[[#This Row],[profit]]/orders[[#This Row],[Revenue]],0)</f>
        <v>0.41538461538461541</v>
      </c>
      <c r="O610">
        <f>IF(orders[[#This Row],[Delivery Date]]="","",(orders[[#This Row],[Delivery Date]]-orders[[#This Row],[Date]]))</f>
        <v>3</v>
      </c>
      <c r="P610" t="str">
        <f>IF(orders[[#This Row],[delivery days]]="","Not Delivered",IF(orders[[#This Row],[delivery days]]&lt;=2,"Fast",IF(orders[[#This Row],[delivery days]]&lt;=5,"Normal","Delayed")))</f>
        <v>Normal</v>
      </c>
    </row>
    <row r="611" spans="1:16" x14ac:dyDescent="0.25">
      <c r="A611" t="s">
        <v>747</v>
      </c>
      <c r="B611" s="5">
        <v>45886</v>
      </c>
      <c r="C611" t="s">
        <v>204</v>
      </c>
      <c r="D611" t="s">
        <v>33</v>
      </c>
      <c r="E611" t="s">
        <v>34</v>
      </c>
      <c r="F611">
        <v>1</v>
      </c>
      <c r="G611" s="1">
        <v>58</v>
      </c>
      <c r="H611" s="1">
        <v>24.5</v>
      </c>
      <c r="I611" s="5">
        <v>45888</v>
      </c>
      <c r="J611" t="s">
        <v>30</v>
      </c>
      <c r="K611" t="s">
        <v>35</v>
      </c>
      <c r="L611" t="s">
        <v>25</v>
      </c>
      <c r="M611" s="1">
        <f>(orders[[#This Row],[Revenue]]-orders[[#This Row],[Cost]])</f>
        <v>33.5</v>
      </c>
      <c r="N611" s="8">
        <f>IFERROR(orders[[#This Row],[profit]]/orders[[#This Row],[Revenue]],0)</f>
        <v>0.57758620689655171</v>
      </c>
      <c r="O611">
        <f>IF(orders[[#This Row],[Delivery Date]]="","",(orders[[#This Row],[Delivery Date]]-orders[[#This Row],[Date]]))</f>
        <v>2</v>
      </c>
      <c r="P611" t="str">
        <f>IF(orders[[#This Row],[delivery days]]="","Not Delivered",IF(orders[[#This Row],[delivery days]]&lt;=2,"Fast",IF(orders[[#This Row],[delivery days]]&lt;=5,"Normal","Delayed")))</f>
        <v>Fast</v>
      </c>
    </row>
    <row r="612" spans="1:16" x14ac:dyDescent="0.25">
      <c r="A612" t="s">
        <v>748</v>
      </c>
      <c r="B612" s="5">
        <v>45886</v>
      </c>
      <c r="C612" t="s">
        <v>161</v>
      </c>
      <c r="D612" t="s">
        <v>153</v>
      </c>
      <c r="E612" t="s">
        <v>34</v>
      </c>
      <c r="F612">
        <v>3</v>
      </c>
      <c r="G612" s="1">
        <v>197.88</v>
      </c>
      <c r="H612" s="1">
        <v>96</v>
      </c>
      <c r="I612" s="5">
        <v>45887</v>
      </c>
      <c r="J612" t="s">
        <v>46</v>
      </c>
      <c r="K612" t="s">
        <v>47</v>
      </c>
      <c r="L612" t="s">
        <v>25</v>
      </c>
      <c r="M612" s="1">
        <f>(orders[[#This Row],[Revenue]]-orders[[#This Row],[Cost]])</f>
        <v>101.88</v>
      </c>
      <c r="N612" s="8">
        <f>IFERROR(orders[[#This Row],[profit]]/orders[[#This Row],[Revenue]],0)</f>
        <v>0.51485748938750753</v>
      </c>
      <c r="O612">
        <f>IF(orders[[#This Row],[Delivery Date]]="","",(orders[[#This Row],[Delivery Date]]-orders[[#This Row],[Date]]))</f>
        <v>1</v>
      </c>
      <c r="P612" t="str">
        <f>IF(orders[[#This Row],[delivery days]]="","Not Delivered",IF(orders[[#This Row],[delivery days]]&lt;=2,"Fast",IF(orders[[#This Row],[delivery days]]&lt;=5,"Normal","Delayed")))</f>
        <v>Fast</v>
      </c>
    </row>
    <row r="613" spans="1:16" x14ac:dyDescent="0.25">
      <c r="A613" t="s">
        <v>749</v>
      </c>
      <c r="B613" s="5">
        <v>45887</v>
      </c>
      <c r="C613" t="s">
        <v>20</v>
      </c>
      <c r="D613" t="s">
        <v>146</v>
      </c>
      <c r="E613" t="s">
        <v>22</v>
      </c>
      <c r="F613">
        <v>1</v>
      </c>
      <c r="G613" s="1">
        <v>90.64</v>
      </c>
      <c r="H613" s="1">
        <v>45</v>
      </c>
      <c r="I613" s="5">
        <v>45894</v>
      </c>
      <c r="J613" t="s">
        <v>52</v>
      </c>
      <c r="K613" t="s">
        <v>47</v>
      </c>
      <c r="L613" t="s">
        <v>25</v>
      </c>
      <c r="M613" s="1">
        <f>(orders[[#This Row],[Revenue]]-orders[[#This Row],[Cost]])</f>
        <v>45.64</v>
      </c>
      <c r="N613" s="8">
        <f>IFERROR(orders[[#This Row],[profit]]/orders[[#This Row],[Revenue]],0)</f>
        <v>0.50353045013239184</v>
      </c>
      <c r="O613">
        <f>IF(orders[[#This Row],[Delivery Date]]="","",(orders[[#This Row],[Delivery Date]]-orders[[#This Row],[Date]]))</f>
        <v>7</v>
      </c>
      <c r="P613" t="str">
        <f>IF(orders[[#This Row],[delivery days]]="","Not Delivered",IF(orders[[#This Row],[delivery days]]&lt;=2,"Fast",IF(orders[[#This Row],[delivery days]]&lt;=5,"Normal","Delayed")))</f>
        <v>Delayed</v>
      </c>
    </row>
    <row r="614" spans="1:16" x14ac:dyDescent="0.25">
      <c r="A614" t="s">
        <v>750</v>
      </c>
      <c r="B614" s="5">
        <v>45887</v>
      </c>
      <c r="C614" t="s">
        <v>191</v>
      </c>
      <c r="D614" t="s">
        <v>108</v>
      </c>
      <c r="E614" t="s">
        <v>22</v>
      </c>
      <c r="F614">
        <v>4</v>
      </c>
      <c r="G614" s="1">
        <v>380</v>
      </c>
      <c r="H614" s="1">
        <v>168</v>
      </c>
      <c r="I614" s="5"/>
      <c r="J614" t="s">
        <v>23</v>
      </c>
      <c r="K614" t="s">
        <v>17</v>
      </c>
      <c r="L614" t="s">
        <v>42</v>
      </c>
      <c r="M614" s="1">
        <f>(orders[[#This Row],[Revenue]]-orders[[#This Row],[Cost]])</f>
        <v>212</v>
      </c>
      <c r="N614" s="8">
        <f>IFERROR(orders[[#This Row],[profit]]/orders[[#This Row],[Revenue]],0)</f>
        <v>0.55789473684210522</v>
      </c>
      <c r="O614" t="str">
        <f>IF(orders[[#This Row],[Delivery Date]]="","",(orders[[#This Row],[Delivery Date]]-orders[[#This Row],[Date]]))</f>
        <v/>
      </c>
      <c r="P614" t="str">
        <f>IF(orders[[#This Row],[delivery days]]="","Not Delivered",IF(orders[[#This Row],[delivery days]]&lt;=2,"Fast",IF(orders[[#This Row],[delivery days]]&lt;=5,"Normal","Delayed")))</f>
        <v>Not Delivered</v>
      </c>
    </row>
    <row r="615" spans="1:16" x14ac:dyDescent="0.25">
      <c r="A615" t="s">
        <v>751</v>
      </c>
      <c r="B615" s="5">
        <v>45887</v>
      </c>
      <c r="C615" t="s">
        <v>49</v>
      </c>
      <c r="D615" t="s">
        <v>300</v>
      </c>
      <c r="E615" t="s">
        <v>77</v>
      </c>
      <c r="F615">
        <v>3</v>
      </c>
      <c r="G615" s="1">
        <v>1170</v>
      </c>
      <c r="H615" s="1">
        <v>735</v>
      </c>
      <c r="I615" s="5">
        <v>45888</v>
      </c>
      <c r="J615" t="s">
        <v>30</v>
      </c>
      <c r="K615" t="s">
        <v>35</v>
      </c>
      <c r="L615" t="s">
        <v>25</v>
      </c>
      <c r="M615" s="1">
        <f>(orders[[#This Row],[Revenue]]-orders[[#This Row],[Cost]])</f>
        <v>435</v>
      </c>
      <c r="N615" s="8">
        <f>IFERROR(orders[[#This Row],[profit]]/orders[[#This Row],[Revenue]],0)</f>
        <v>0.37179487179487181</v>
      </c>
      <c r="O615">
        <f>IF(orders[[#This Row],[Delivery Date]]="","",(orders[[#This Row],[Delivery Date]]-orders[[#This Row],[Date]]))</f>
        <v>1</v>
      </c>
      <c r="P615" t="str">
        <f>IF(orders[[#This Row],[delivery days]]="","Not Delivered",IF(orders[[#This Row],[delivery days]]&lt;=2,"Fast",IF(orders[[#This Row],[delivery days]]&lt;=5,"Normal","Delayed")))</f>
        <v>Fast</v>
      </c>
    </row>
    <row r="616" spans="1:16" x14ac:dyDescent="0.25">
      <c r="A616" t="s">
        <v>752</v>
      </c>
      <c r="B616" s="5">
        <v>45887</v>
      </c>
      <c r="C616" t="s">
        <v>161</v>
      </c>
      <c r="D616" t="s">
        <v>80</v>
      </c>
      <c r="E616" t="s">
        <v>77</v>
      </c>
      <c r="F616">
        <v>1</v>
      </c>
      <c r="G616" s="1">
        <v>75</v>
      </c>
      <c r="H616" s="1">
        <v>37.24</v>
      </c>
      <c r="I616" s="5">
        <v>45891</v>
      </c>
      <c r="J616" t="s">
        <v>46</v>
      </c>
      <c r="K616" t="s">
        <v>24</v>
      </c>
      <c r="L616" t="s">
        <v>25</v>
      </c>
      <c r="M616" s="1">
        <f>(orders[[#This Row],[Revenue]]-orders[[#This Row],[Cost]])</f>
        <v>37.76</v>
      </c>
      <c r="N616" s="8">
        <f>IFERROR(orders[[#This Row],[profit]]/orders[[#This Row],[Revenue]],0)</f>
        <v>0.50346666666666662</v>
      </c>
      <c r="O616">
        <f>IF(orders[[#This Row],[Delivery Date]]="","",(orders[[#This Row],[Delivery Date]]-orders[[#This Row],[Date]]))</f>
        <v>4</v>
      </c>
      <c r="P616" t="str">
        <f>IF(orders[[#This Row],[delivery days]]="","Not Delivered",IF(orders[[#This Row],[delivery days]]&lt;=2,"Fast",IF(orders[[#This Row],[delivery days]]&lt;=5,"Normal","Delayed")))</f>
        <v>Normal</v>
      </c>
    </row>
    <row r="617" spans="1:16" x14ac:dyDescent="0.25">
      <c r="A617" t="s">
        <v>753</v>
      </c>
      <c r="B617" s="5">
        <v>45887</v>
      </c>
      <c r="C617" t="s">
        <v>69</v>
      </c>
      <c r="D617" t="s">
        <v>21</v>
      </c>
      <c r="E617" t="s">
        <v>22</v>
      </c>
      <c r="F617">
        <v>1</v>
      </c>
      <c r="G617" s="1">
        <v>29.44</v>
      </c>
      <c r="H617" s="1">
        <v>13</v>
      </c>
      <c r="I617" s="5">
        <v>45893</v>
      </c>
      <c r="J617" t="s">
        <v>52</v>
      </c>
      <c r="K617" t="s">
        <v>24</v>
      </c>
      <c r="L617" t="s">
        <v>25</v>
      </c>
      <c r="M617" s="1">
        <f>(orders[[#This Row],[Revenue]]-orders[[#This Row],[Cost]])</f>
        <v>16.440000000000001</v>
      </c>
      <c r="N617" s="8">
        <f>IFERROR(orders[[#This Row],[profit]]/orders[[#This Row],[Revenue]],0)</f>
        <v>0.55842391304347827</v>
      </c>
      <c r="O617">
        <f>IF(orders[[#This Row],[Delivery Date]]="","",(orders[[#This Row],[Delivery Date]]-orders[[#This Row],[Date]]))</f>
        <v>6</v>
      </c>
      <c r="P617" t="str">
        <f>IF(orders[[#This Row],[delivery days]]="","Not Delivered",IF(orders[[#This Row],[delivery days]]&lt;=2,"Fast",IF(orders[[#This Row],[delivery days]]&lt;=5,"Normal","Delayed")))</f>
        <v>Delayed</v>
      </c>
    </row>
    <row r="618" spans="1:16" x14ac:dyDescent="0.25">
      <c r="A618" t="s">
        <v>754</v>
      </c>
      <c r="B618" s="5">
        <v>45887</v>
      </c>
      <c r="C618" t="s">
        <v>191</v>
      </c>
      <c r="D618" t="s">
        <v>45</v>
      </c>
      <c r="E618" t="s">
        <v>34</v>
      </c>
      <c r="F618">
        <v>1</v>
      </c>
      <c r="G618" s="1">
        <v>72</v>
      </c>
      <c r="H618" s="1">
        <v>31</v>
      </c>
      <c r="I618" s="5">
        <v>45889</v>
      </c>
      <c r="J618" t="s">
        <v>30</v>
      </c>
      <c r="K618" t="s">
        <v>17</v>
      </c>
      <c r="L618" t="s">
        <v>25</v>
      </c>
      <c r="M618" s="1">
        <f>(orders[[#This Row],[Revenue]]-orders[[#This Row],[Cost]])</f>
        <v>41</v>
      </c>
      <c r="N618" s="8">
        <f>IFERROR(orders[[#This Row],[profit]]/orders[[#This Row],[Revenue]],0)</f>
        <v>0.56944444444444442</v>
      </c>
      <c r="O618">
        <f>IF(orders[[#This Row],[Delivery Date]]="","",(orders[[#This Row],[Delivery Date]]-orders[[#This Row],[Date]]))</f>
        <v>2</v>
      </c>
      <c r="P618" t="str">
        <f>IF(orders[[#This Row],[delivery days]]="","Not Delivered",IF(orders[[#This Row],[delivery days]]&lt;=2,"Fast",IF(orders[[#This Row],[delivery days]]&lt;=5,"Normal","Delayed")))</f>
        <v>Fast</v>
      </c>
    </row>
    <row r="619" spans="1:16" x14ac:dyDescent="0.25">
      <c r="A619" t="s">
        <v>755</v>
      </c>
      <c r="B619" s="5">
        <v>45887</v>
      </c>
      <c r="C619" t="s">
        <v>105</v>
      </c>
      <c r="D619" t="s">
        <v>33</v>
      </c>
      <c r="E619" t="s">
        <v>34</v>
      </c>
      <c r="F619">
        <v>1</v>
      </c>
      <c r="G619" s="1">
        <v>58</v>
      </c>
      <c r="H619" s="1">
        <v>25</v>
      </c>
      <c r="I619" s="5">
        <v>45888</v>
      </c>
      <c r="J619" t="s">
        <v>30</v>
      </c>
      <c r="K619" t="s">
        <v>35</v>
      </c>
      <c r="L619" t="s">
        <v>25</v>
      </c>
      <c r="M619" s="1">
        <f>(orders[[#This Row],[Revenue]]-orders[[#This Row],[Cost]])</f>
        <v>33</v>
      </c>
      <c r="N619" s="8">
        <f>IFERROR(orders[[#This Row],[profit]]/orders[[#This Row],[Revenue]],0)</f>
        <v>0.56896551724137934</v>
      </c>
      <c r="O619">
        <f>IF(orders[[#This Row],[Delivery Date]]="","",(orders[[#This Row],[Delivery Date]]-orders[[#This Row],[Date]]))</f>
        <v>1</v>
      </c>
      <c r="P619" t="str">
        <f>IF(orders[[#This Row],[delivery days]]="","Not Delivered",IF(orders[[#This Row],[delivery days]]&lt;=2,"Fast",IF(orders[[#This Row],[delivery days]]&lt;=5,"Normal","Delayed")))</f>
        <v>Fast</v>
      </c>
    </row>
    <row r="620" spans="1:16" x14ac:dyDescent="0.25">
      <c r="A620" t="s">
        <v>756</v>
      </c>
      <c r="B620" s="5">
        <v>45888</v>
      </c>
      <c r="C620" t="s">
        <v>176</v>
      </c>
      <c r="D620" t="s">
        <v>61</v>
      </c>
      <c r="E620" t="s">
        <v>62</v>
      </c>
      <c r="F620">
        <v>3</v>
      </c>
      <c r="G620" s="1">
        <v>93.12</v>
      </c>
      <c r="H620" s="1">
        <v>42.84</v>
      </c>
      <c r="I620" s="5">
        <v>45894</v>
      </c>
      <c r="J620" t="s">
        <v>23</v>
      </c>
      <c r="K620" t="s">
        <v>17</v>
      </c>
      <c r="L620" t="s">
        <v>18</v>
      </c>
      <c r="M620" s="1">
        <f>(orders[[#This Row],[Revenue]]-orders[[#This Row],[Cost]])</f>
        <v>50.28</v>
      </c>
      <c r="N620" s="8">
        <f>IFERROR(orders[[#This Row],[profit]]/orders[[#This Row],[Revenue]],0)</f>
        <v>0.53994845360824739</v>
      </c>
      <c r="O620">
        <f>IF(orders[[#This Row],[Delivery Date]]="","",(orders[[#This Row],[Delivery Date]]-orders[[#This Row],[Date]]))</f>
        <v>6</v>
      </c>
      <c r="P620" t="str">
        <f>IF(orders[[#This Row],[delivery days]]="","Not Delivered",IF(orders[[#This Row],[delivery days]]&lt;=2,"Fast",IF(orders[[#This Row],[delivery days]]&lt;=5,"Normal","Delayed")))</f>
        <v>Delayed</v>
      </c>
    </row>
    <row r="621" spans="1:16" x14ac:dyDescent="0.25">
      <c r="A621" t="s">
        <v>757</v>
      </c>
      <c r="B621" s="5">
        <v>45888</v>
      </c>
      <c r="C621" t="s">
        <v>82</v>
      </c>
      <c r="D621" t="s">
        <v>135</v>
      </c>
      <c r="E621" t="s">
        <v>62</v>
      </c>
      <c r="F621">
        <v>1</v>
      </c>
      <c r="G621" s="1">
        <v>115</v>
      </c>
      <c r="H621" s="1">
        <v>63</v>
      </c>
      <c r="I621" s="5">
        <v>45891</v>
      </c>
      <c r="J621" t="s">
        <v>46</v>
      </c>
      <c r="K621" t="s">
        <v>47</v>
      </c>
      <c r="L621" t="s">
        <v>25</v>
      </c>
      <c r="M621" s="1">
        <f>(orders[[#This Row],[Revenue]]-orders[[#This Row],[Cost]])</f>
        <v>52</v>
      </c>
      <c r="N621" s="8">
        <f>IFERROR(orders[[#This Row],[profit]]/orders[[#This Row],[Revenue]],0)</f>
        <v>0.45217391304347826</v>
      </c>
      <c r="O621">
        <f>IF(orders[[#This Row],[Delivery Date]]="","",(orders[[#This Row],[Delivery Date]]-orders[[#This Row],[Date]]))</f>
        <v>3</v>
      </c>
      <c r="P621" t="str">
        <f>IF(orders[[#This Row],[delivery days]]="","Not Delivered",IF(orders[[#This Row],[delivery days]]&lt;=2,"Fast",IF(orders[[#This Row],[delivery days]]&lt;=5,"Normal","Delayed")))</f>
        <v>Normal</v>
      </c>
    </row>
    <row r="622" spans="1:16" x14ac:dyDescent="0.25">
      <c r="A622" t="s">
        <v>758</v>
      </c>
      <c r="B622" s="5">
        <v>45888</v>
      </c>
      <c r="C622" t="s">
        <v>57</v>
      </c>
      <c r="D622" t="s">
        <v>127</v>
      </c>
      <c r="E622" t="s">
        <v>29</v>
      </c>
      <c r="F622">
        <v>2</v>
      </c>
      <c r="G622" s="1">
        <v>36</v>
      </c>
      <c r="H622" s="1">
        <v>12</v>
      </c>
      <c r="I622" s="5">
        <v>45889</v>
      </c>
      <c r="J622" t="s">
        <v>30</v>
      </c>
      <c r="K622" t="s">
        <v>35</v>
      </c>
      <c r="L622" t="s">
        <v>25</v>
      </c>
      <c r="M622" s="1">
        <f>(orders[[#This Row],[Revenue]]-orders[[#This Row],[Cost]])</f>
        <v>24</v>
      </c>
      <c r="N622" s="8">
        <f>IFERROR(orders[[#This Row],[profit]]/orders[[#This Row],[Revenue]],0)</f>
        <v>0.66666666666666663</v>
      </c>
      <c r="O622">
        <f>IF(orders[[#This Row],[Delivery Date]]="","",(orders[[#This Row],[Delivery Date]]-orders[[#This Row],[Date]]))</f>
        <v>1</v>
      </c>
      <c r="P622" t="str">
        <f>IF(orders[[#This Row],[delivery days]]="","Not Delivered",IF(orders[[#This Row],[delivery days]]&lt;=2,"Fast",IF(orders[[#This Row],[delivery days]]&lt;=5,"Normal","Delayed")))</f>
        <v>Fast</v>
      </c>
    </row>
    <row r="623" spans="1:16" x14ac:dyDescent="0.25">
      <c r="A623" t="s">
        <v>759</v>
      </c>
      <c r="B623" s="5">
        <v>45889</v>
      </c>
      <c r="C623" t="s">
        <v>64</v>
      </c>
      <c r="D623" t="s">
        <v>125</v>
      </c>
      <c r="E623" t="s">
        <v>62</v>
      </c>
      <c r="F623">
        <v>1</v>
      </c>
      <c r="G623" s="1">
        <v>145</v>
      </c>
      <c r="H623" s="1">
        <v>82</v>
      </c>
      <c r="I623" s="5">
        <v>45892</v>
      </c>
      <c r="J623" t="s">
        <v>30</v>
      </c>
      <c r="K623" t="s">
        <v>17</v>
      </c>
      <c r="L623" t="s">
        <v>25</v>
      </c>
      <c r="M623" s="1">
        <f>(orders[[#This Row],[Revenue]]-orders[[#This Row],[Cost]])</f>
        <v>63</v>
      </c>
      <c r="N623" s="8">
        <f>IFERROR(orders[[#This Row],[profit]]/orders[[#This Row],[Revenue]],0)</f>
        <v>0.43448275862068964</v>
      </c>
      <c r="O623">
        <f>IF(orders[[#This Row],[Delivery Date]]="","",(orders[[#This Row],[Delivery Date]]-orders[[#This Row],[Date]]))</f>
        <v>3</v>
      </c>
      <c r="P623" t="str">
        <f>IF(orders[[#This Row],[delivery days]]="","Not Delivered",IF(orders[[#This Row],[delivery days]]&lt;=2,"Fast",IF(orders[[#This Row],[delivery days]]&lt;=5,"Normal","Delayed")))</f>
        <v>Normal</v>
      </c>
    </row>
    <row r="624" spans="1:16" x14ac:dyDescent="0.25">
      <c r="A624" t="s">
        <v>760</v>
      </c>
      <c r="B624" s="5">
        <v>45889</v>
      </c>
      <c r="C624" t="s">
        <v>132</v>
      </c>
      <c r="D624" t="s">
        <v>110</v>
      </c>
      <c r="E624" t="s">
        <v>39</v>
      </c>
      <c r="F624">
        <v>2</v>
      </c>
      <c r="G624" s="1">
        <v>420</v>
      </c>
      <c r="H624" s="1">
        <v>255</v>
      </c>
      <c r="I624" s="5">
        <v>45893</v>
      </c>
      <c r="J624" t="s">
        <v>30</v>
      </c>
      <c r="K624" t="s">
        <v>17</v>
      </c>
      <c r="L624" t="s">
        <v>25</v>
      </c>
      <c r="M624" s="1">
        <f>(orders[[#This Row],[Revenue]]-orders[[#This Row],[Cost]])</f>
        <v>165</v>
      </c>
      <c r="N624" s="8">
        <f>IFERROR(orders[[#This Row],[profit]]/orders[[#This Row],[Revenue]],0)</f>
        <v>0.39285714285714285</v>
      </c>
      <c r="O624">
        <f>IF(orders[[#This Row],[Delivery Date]]="","",(orders[[#This Row],[Delivery Date]]-orders[[#This Row],[Date]]))</f>
        <v>4</v>
      </c>
      <c r="P624" t="str">
        <f>IF(orders[[#This Row],[delivery days]]="","Not Delivered",IF(orders[[#This Row],[delivery days]]&lt;=2,"Fast",IF(orders[[#This Row],[delivery days]]&lt;=5,"Normal","Delayed")))</f>
        <v>Normal</v>
      </c>
    </row>
    <row r="625" spans="1:16" x14ac:dyDescent="0.25">
      <c r="A625" t="s">
        <v>761</v>
      </c>
      <c r="B625" s="5">
        <v>45889</v>
      </c>
      <c r="C625" t="s">
        <v>184</v>
      </c>
      <c r="D625" t="s">
        <v>83</v>
      </c>
      <c r="E625" t="s">
        <v>15</v>
      </c>
      <c r="F625">
        <v>3</v>
      </c>
      <c r="G625" s="1">
        <v>231.75</v>
      </c>
      <c r="H625" s="1">
        <v>117</v>
      </c>
      <c r="I625" s="5">
        <v>45890</v>
      </c>
      <c r="J625" t="s">
        <v>16</v>
      </c>
      <c r="K625" t="s">
        <v>17</v>
      </c>
      <c r="L625" t="s">
        <v>25</v>
      </c>
      <c r="M625" s="1">
        <f>(orders[[#This Row],[Revenue]]-orders[[#This Row],[Cost]])</f>
        <v>114.75</v>
      </c>
      <c r="N625" s="8">
        <f>IFERROR(orders[[#This Row],[profit]]/orders[[#This Row],[Revenue]],0)</f>
        <v>0.49514563106796117</v>
      </c>
      <c r="O625">
        <f>IF(orders[[#This Row],[Delivery Date]]="","",(orders[[#This Row],[Delivery Date]]-orders[[#This Row],[Date]]))</f>
        <v>1</v>
      </c>
      <c r="P625" t="str">
        <f>IF(orders[[#This Row],[delivery days]]="","Not Delivered",IF(orders[[#This Row],[delivery days]]&lt;=2,"Fast",IF(orders[[#This Row],[delivery days]]&lt;=5,"Normal","Delayed")))</f>
        <v>Fast</v>
      </c>
    </row>
    <row r="626" spans="1:16" x14ac:dyDescent="0.25">
      <c r="A626" t="s">
        <v>762</v>
      </c>
      <c r="B626" s="5">
        <v>45890</v>
      </c>
      <c r="C626" t="s">
        <v>269</v>
      </c>
      <c r="D626" t="s">
        <v>135</v>
      </c>
      <c r="E626" t="s">
        <v>62</v>
      </c>
      <c r="F626">
        <v>2</v>
      </c>
      <c r="G626" s="1">
        <v>230</v>
      </c>
      <c r="H626" s="1">
        <v>126</v>
      </c>
      <c r="I626" s="5"/>
      <c r="J626" t="s">
        <v>23</v>
      </c>
      <c r="K626" t="s">
        <v>17</v>
      </c>
      <c r="L626" t="s">
        <v>103</v>
      </c>
      <c r="M626" s="1">
        <f>(orders[[#This Row],[Revenue]]-orders[[#This Row],[Cost]])</f>
        <v>104</v>
      </c>
      <c r="N626" s="8">
        <f>IFERROR(orders[[#This Row],[profit]]/orders[[#This Row],[Revenue]],0)</f>
        <v>0.45217391304347826</v>
      </c>
      <c r="O626" t="str">
        <f>IF(orders[[#This Row],[Delivery Date]]="","",(orders[[#This Row],[Delivery Date]]-orders[[#This Row],[Date]]))</f>
        <v/>
      </c>
      <c r="P626" t="str">
        <f>IF(orders[[#This Row],[delivery days]]="","Not Delivered",IF(orders[[#This Row],[delivery days]]&lt;=2,"Fast",IF(orders[[#This Row],[delivery days]]&lt;=5,"Normal","Delayed")))</f>
        <v>Not Delivered</v>
      </c>
    </row>
    <row r="627" spans="1:16" x14ac:dyDescent="0.25">
      <c r="A627" t="s">
        <v>763</v>
      </c>
      <c r="B627" s="5">
        <v>45890</v>
      </c>
      <c r="C627" t="s">
        <v>269</v>
      </c>
      <c r="D627" t="s">
        <v>224</v>
      </c>
      <c r="E627" t="s">
        <v>77</v>
      </c>
      <c r="F627">
        <v>4</v>
      </c>
      <c r="G627" s="1">
        <v>500</v>
      </c>
      <c r="H627" s="1">
        <v>268</v>
      </c>
      <c r="I627" s="5">
        <v>45891</v>
      </c>
      <c r="J627" t="s">
        <v>30</v>
      </c>
      <c r="K627" t="s">
        <v>17</v>
      </c>
      <c r="L627" t="s">
        <v>25</v>
      </c>
      <c r="M627" s="1">
        <f>(orders[[#This Row],[Revenue]]-orders[[#This Row],[Cost]])</f>
        <v>232</v>
      </c>
      <c r="N627" s="8">
        <f>IFERROR(orders[[#This Row],[profit]]/orders[[#This Row],[Revenue]],0)</f>
        <v>0.46400000000000002</v>
      </c>
      <c r="O627">
        <f>IF(orders[[#This Row],[Delivery Date]]="","",(orders[[#This Row],[Delivery Date]]-orders[[#This Row],[Date]]))</f>
        <v>1</v>
      </c>
      <c r="P627" t="str">
        <f>IF(orders[[#This Row],[delivery days]]="","Not Delivered",IF(orders[[#This Row],[delivery days]]&lt;=2,"Fast",IF(orders[[#This Row],[delivery days]]&lt;=5,"Normal","Delayed")))</f>
        <v>Fast</v>
      </c>
    </row>
    <row r="628" spans="1:16" x14ac:dyDescent="0.25">
      <c r="A628" t="s">
        <v>764</v>
      </c>
      <c r="B628" s="5">
        <v>45890</v>
      </c>
      <c r="C628" t="s">
        <v>222</v>
      </c>
      <c r="D628" t="s">
        <v>235</v>
      </c>
      <c r="E628" t="s">
        <v>15</v>
      </c>
      <c r="F628">
        <v>2</v>
      </c>
      <c r="G628" s="1">
        <v>130</v>
      </c>
      <c r="H628" s="1">
        <v>63.24</v>
      </c>
      <c r="I628" s="5">
        <v>45893</v>
      </c>
      <c r="J628" t="s">
        <v>30</v>
      </c>
      <c r="K628" t="s">
        <v>35</v>
      </c>
      <c r="L628" t="s">
        <v>25</v>
      </c>
      <c r="M628" s="1">
        <f>(orders[[#This Row],[Revenue]]-orders[[#This Row],[Cost]])</f>
        <v>66.759999999999991</v>
      </c>
      <c r="N628" s="8">
        <f>IFERROR(orders[[#This Row],[profit]]/orders[[#This Row],[Revenue]],0)</f>
        <v>0.5135384615384615</v>
      </c>
      <c r="O628">
        <f>IF(orders[[#This Row],[Delivery Date]]="","",(orders[[#This Row],[Delivery Date]]-orders[[#This Row],[Date]]))</f>
        <v>3</v>
      </c>
      <c r="P628" t="str">
        <f>IF(orders[[#This Row],[delivery days]]="","Not Delivered",IF(orders[[#This Row],[delivery days]]&lt;=2,"Fast",IF(orders[[#This Row],[delivery days]]&lt;=5,"Normal","Delayed")))</f>
        <v>Normal</v>
      </c>
    </row>
    <row r="629" spans="1:16" x14ac:dyDescent="0.25">
      <c r="A629" t="s">
        <v>765</v>
      </c>
      <c r="B629" s="5">
        <v>45891</v>
      </c>
      <c r="C629" t="s">
        <v>92</v>
      </c>
      <c r="D629" t="s">
        <v>153</v>
      </c>
      <c r="E629" t="s">
        <v>34</v>
      </c>
      <c r="F629">
        <v>1</v>
      </c>
      <c r="G629" s="1">
        <v>68</v>
      </c>
      <c r="H629" s="1">
        <v>32</v>
      </c>
      <c r="I629" s="5">
        <v>45895</v>
      </c>
      <c r="J629" t="s">
        <v>46</v>
      </c>
      <c r="K629" t="s">
        <v>47</v>
      </c>
      <c r="L629" t="s">
        <v>25</v>
      </c>
      <c r="M629" s="1">
        <f>(orders[[#This Row],[Revenue]]-orders[[#This Row],[Cost]])</f>
        <v>36</v>
      </c>
      <c r="N629" s="8">
        <f>IFERROR(orders[[#This Row],[profit]]/orders[[#This Row],[Revenue]],0)</f>
        <v>0.52941176470588236</v>
      </c>
      <c r="O629">
        <f>IF(orders[[#This Row],[Delivery Date]]="","",(orders[[#This Row],[Delivery Date]]-orders[[#This Row],[Date]]))</f>
        <v>4</v>
      </c>
      <c r="P629" t="str">
        <f>IF(orders[[#This Row],[delivery days]]="","Not Delivered",IF(orders[[#This Row],[delivery days]]&lt;=2,"Fast",IF(orders[[#This Row],[delivery days]]&lt;=5,"Normal","Delayed")))</f>
        <v>Normal</v>
      </c>
    </row>
    <row r="630" spans="1:16" x14ac:dyDescent="0.25">
      <c r="A630" t="s">
        <v>766</v>
      </c>
      <c r="B630" s="5">
        <v>45891</v>
      </c>
      <c r="C630" t="s">
        <v>64</v>
      </c>
      <c r="D630" t="s">
        <v>208</v>
      </c>
      <c r="E630" t="s">
        <v>15</v>
      </c>
      <c r="F630">
        <v>1</v>
      </c>
      <c r="G630" s="1">
        <v>126.1</v>
      </c>
      <c r="H630" s="1">
        <v>76</v>
      </c>
      <c r="I630" s="5">
        <v>45894</v>
      </c>
      <c r="J630" t="s">
        <v>16</v>
      </c>
      <c r="K630" t="s">
        <v>17</v>
      </c>
      <c r="L630" t="s">
        <v>25</v>
      </c>
      <c r="M630" s="1">
        <f>(orders[[#This Row],[Revenue]]-orders[[#This Row],[Cost]])</f>
        <v>50.099999999999994</v>
      </c>
      <c r="N630" s="8">
        <f>IFERROR(orders[[#This Row],[profit]]/orders[[#This Row],[Revenue]],0)</f>
        <v>0.39730372720063439</v>
      </c>
      <c r="O630">
        <f>IF(orders[[#This Row],[Delivery Date]]="","",(orders[[#This Row],[Delivery Date]]-orders[[#This Row],[Date]]))</f>
        <v>3</v>
      </c>
      <c r="P630" t="str">
        <f>IF(orders[[#This Row],[delivery days]]="","Not Delivered",IF(orders[[#This Row],[delivery days]]&lt;=2,"Fast",IF(orders[[#This Row],[delivery days]]&lt;=5,"Normal","Delayed")))</f>
        <v>Normal</v>
      </c>
    </row>
    <row r="631" spans="1:16" x14ac:dyDescent="0.25">
      <c r="A631" t="s">
        <v>767</v>
      </c>
      <c r="B631" s="5">
        <v>45892</v>
      </c>
      <c r="C631" t="s">
        <v>107</v>
      </c>
      <c r="D631" t="s">
        <v>270</v>
      </c>
      <c r="E631" t="s">
        <v>39</v>
      </c>
      <c r="F631">
        <v>1</v>
      </c>
      <c r="G631" s="1">
        <v>48.6</v>
      </c>
      <c r="H631" s="1">
        <v>22</v>
      </c>
      <c r="I631" s="5">
        <v>45893</v>
      </c>
      <c r="J631" t="s">
        <v>101</v>
      </c>
      <c r="K631" t="s">
        <v>47</v>
      </c>
      <c r="L631" t="s">
        <v>25</v>
      </c>
      <c r="M631" s="1">
        <f>(orders[[#This Row],[Revenue]]-orders[[#This Row],[Cost]])</f>
        <v>26.6</v>
      </c>
      <c r="N631" s="8">
        <f>IFERROR(orders[[#This Row],[profit]]/orders[[#This Row],[Revenue]],0)</f>
        <v>0.5473251028806585</v>
      </c>
      <c r="O631">
        <f>IF(orders[[#This Row],[Delivery Date]]="","",(orders[[#This Row],[Delivery Date]]-orders[[#This Row],[Date]]))</f>
        <v>1</v>
      </c>
      <c r="P631" t="str">
        <f>IF(orders[[#This Row],[delivery days]]="","Not Delivered",IF(orders[[#This Row],[delivery days]]&lt;=2,"Fast",IF(orders[[#This Row],[delivery days]]&lt;=5,"Normal","Delayed")))</f>
        <v>Fast</v>
      </c>
    </row>
    <row r="632" spans="1:16" x14ac:dyDescent="0.25">
      <c r="A632" t="s">
        <v>768</v>
      </c>
      <c r="B632" s="5">
        <v>45893</v>
      </c>
      <c r="C632" t="s">
        <v>149</v>
      </c>
      <c r="D632" t="s">
        <v>14</v>
      </c>
      <c r="E632" t="s">
        <v>15</v>
      </c>
      <c r="F632">
        <v>3</v>
      </c>
      <c r="G632" s="1">
        <v>75</v>
      </c>
      <c r="H632" s="1">
        <v>27</v>
      </c>
      <c r="I632" s="5">
        <v>45894</v>
      </c>
      <c r="J632" t="s">
        <v>16</v>
      </c>
      <c r="K632" t="s">
        <v>35</v>
      </c>
      <c r="L632" t="s">
        <v>25</v>
      </c>
      <c r="M632" s="1">
        <f>(orders[[#This Row],[Revenue]]-orders[[#This Row],[Cost]])</f>
        <v>48</v>
      </c>
      <c r="N632" s="8">
        <f>IFERROR(orders[[#This Row],[profit]]/orders[[#This Row],[Revenue]],0)</f>
        <v>0.64</v>
      </c>
      <c r="O632">
        <f>IF(orders[[#This Row],[Delivery Date]]="","",(orders[[#This Row],[Delivery Date]]-orders[[#This Row],[Date]]))</f>
        <v>1</v>
      </c>
      <c r="P632" t="str">
        <f>IF(orders[[#This Row],[delivery days]]="","Not Delivered",IF(orders[[#This Row],[delivery days]]&lt;=2,"Fast",IF(orders[[#This Row],[delivery days]]&lt;=5,"Normal","Delayed")))</f>
        <v>Fast</v>
      </c>
    </row>
    <row r="633" spans="1:16" x14ac:dyDescent="0.25">
      <c r="A633" t="s">
        <v>769</v>
      </c>
      <c r="B633" s="5">
        <v>45893</v>
      </c>
      <c r="C633" t="s">
        <v>107</v>
      </c>
      <c r="D633" t="s">
        <v>28</v>
      </c>
      <c r="E633" t="s">
        <v>29</v>
      </c>
      <c r="F633">
        <v>4</v>
      </c>
      <c r="G633" s="1">
        <v>96</v>
      </c>
      <c r="H633" s="1">
        <v>36.72</v>
      </c>
      <c r="I633" s="5">
        <v>45898</v>
      </c>
      <c r="J633" t="s">
        <v>46</v>
      </c>
      <c r="K633" t="s">
        <v>47</v>
      </c>
      <c r="L633" t="s">
        <v>25</v>
      </c>
      <c r="M633" s="1">
        <f>(orders[[#This Row],[Revenue]]-orders[[#This Row],[Cost]])</f>
        <v>59.28</v>
      </c>
      <c r="N633" s="8">
        <f>IFERROR(orders[[#This Row],[profit]]/orders[[#This Row],[Revenue]],0)</f>
        <v>0.61750000000000005</v>
      </c>
      <c r="O633">
        <f>IF(orders[[#This Row],[Delivery Date]]="","",(orders[[#This Row],[Delivery Date]]-orders[[#This Row],[Date]]))</f>
        <v>5</v>
      </c>
      <c r="P633" t="str">
        <f>IF(orders[[#This Row],[delivery days]]="","Not Delivered",IF(orders[[#This Row],[delivery days]]&lt;=2,"Fast",IF(orders[[#This Row],[delivery days]]&lt;=5,"Normal","Delayed")))</f>
        <v>Normal</v>
      </c>
    </row>
    <row r="634" spans="1:16" x14ac:dyDescent="0.25">
      <c r="A634" t="s">
        <v>770</v>
      </c>
      <c r="B634" s="5">
        <v>45893</v>
      </c>
      <c r="C634" t="s">
        <v>107</v>
      </c>
      <c r="D634" t="s">
        <v>80</v>
      </c>
      <c r="E634" t="s">
        <v>77</v>
      </c>
      <c r="F634">
        <v>3</v>
      </c>
      <c r="G634" s="1">
        <v>225</v>
      </c>
      <c r="H634" s="1">
        <v>114</v>
      </c>
      <c r="I634" s="5">
        <v>45897</v>
      </c>
      <c r="J634" t="s">
        <v>30</v>
      </c>
      <c r="K634" t="s">
        <v>17</v>
      </c>
      <c r="L634" t="s">
        <v>25</v>
      </c>
      <c r="M634" s="1">
        <f>(orders[[#This Row],[Revenue]]-orders[[#This Row],[Cost]])</f>
        <v>111</v>
      </c>
      <c r="N634" s="8">
        <f>IFERROR(orders[[#This Row],[profit]]/orders[[#This Row],[Revenue]],0)</f>
        <v>0.49333333333333335</v>
      </c>
      <c r="O634">
        <f>IF(orders[[#This Row],[Delivery Date]]="","",(orders[[#This Row],[Delivery Date]]-orders[[#This Row],[Date]]))</f>
        <v>4</v>
      </c>
      <c r="P634" t="str">
        <f>IF(orders[[#This Row],[delivery days]]="","Not Delivered",IF(orders[[#This Row],[delivery days]]&lt;=2,"Fast",IF(orders[[#This Row],[delivery days]]&lt;=5,"Normal","Delayed")))</f>
        <v>Normal</v>
      </c>
    </row>
    <row r="635" spans="1:16" x14ac:dyDescent="0.25">
      <c r="A635" t="s">
        <v>771</v>
      </c>
      <c r="B635" s="5">
        <v>45893</v>
      </c>
      <c r="C635" t="s">
        <v>204</v>
      </c>
      <c r="D635" t="s">
        <v>308</v>
      </c>
      <c r="E635" t="s">
        <v>22</v>
      </c>
      <c r="F635">
        <v>1</v>
      </c>
      <c r="G635" s="1">
        <v>75</v>
      </c>
      <c r="H635" s="1">
        <v>34</v>
      </c>
      <c r="I635" s="5">
        <v>45898</v>
      </c>
      <c r="J635" t="s">
        <v>23</v>
      </c>
      <c r="K635" t="s">
        <v>24</v>
      </c>
      <c r="L635" t="s">
        <v>25</v>
      </c>
      <c r="M635" s="1">
        <f>(orders[[#This Row],[Revenue]]-orders[[#This Row],[Cost]])</f>
        <v>41</v>
      </c>
      <c r="N635" s="8">
        <f>IFERROR(orders[[#This Row],[profit]]/orders[[#This Row],[Revenue]],0)</f>
        <v>0.54666666666666663</v>
      </c>
      <c r="O635">
        <f>IF(orders[[#This Row],[Delivery Date]]="","",(orders[[#This Row],[Delivery Date]]-orders[[#This Row],[Date]]))</f>
        <v>5</v>
      </c>
      <c r="P635" t="str">
        <f>IF(orders[[#This Row],[delivery days]]="","Not Delivered",IF(orders[[#This Row],[delivery days]]&lt;=2,"Fast",IF(orders[[#This Row],[delivery days]]&lt;=5,"Normal","Delayed")))</f>
        <v>Normal</v>
      </c>
    </row>
    <row r="636" spans="1:16" x14ac:dyDescent="0.25">
      <c r="A636" t="s">
        <v>772</v>
      </c>
      <c r="B636" s="5">
        <v>45894</v>
      </c>
      <c r="C636" t="s">
        <v>149</v>
      </c>
      <c r="D636" t="s">
        <v>289</v>
      </c>
      <c r="E636" t="s">
        <v>22</v>
      </c>
      <c r="F636">
        <v>2</v>
      </c>
      <c r="G636" s="1">
        <v>124</v>
      </c>
      <c r="H636" s="1">
        <v>56.84</v>
      </c>
      <c r="I636" s="5">
        <v>45898</v>
      </c>
      <c r="J636" t="s">
        <v>46</v>
      </c>
      <c r="K636" t="s">
        <v>24</v>
      </c>
      <c r="L636" t="s">
        <v>25</v>
      </c>
      <c r="M636" s="1">
        <f>(orders[[#This Row],[Revenue]]-orders[[#This Row],[Cost]])</f>
        <v>67.16</v>
      </c>
      <c r="N636" s="8">
        <f>IFERROR(orders[[#This Row],[profit]]/orders[[#This Row],[Revenue]],0)</f>
        <v>0.54161290322580646</v>
      </c>
      <c r="O636">
        <f>IF(orders[[#This Row],[Delivery Date]]="","",(orders[[#This Row],[Delivery Date]]-orders[[#This Row],[Date]]))</f>
        <v>4</v>
      </c>
      <c r="P636" t="str">
        <f>IF(orders[[#This Row],[delivery days]]="","Not Delivered",IF(orders[[#This Row],[delivery days]]&lt;=2,"Fast",IF(orders[[#This Row],[delivery days]]&lt;=5,"Normal","Delayed")))</f>
        <v>Normal</v>
      </c>
    </row>
    <row r="637" spans="1:16" x14ac:dyDescent="0.25">
      <c r="A637" t="s">
        <v>773</v>
      </c>
      <c r="B637" s="5">
        <v>45894</v>
      </c>
      <c r="C637" t="s">
        <v>112</v>
      </c>
      <c r="D637" t="s">
        <v>135</v>
      </c>
      <c r="E637" t="s">
        <v>62</v>
      </c>
      <c r="F637">
        <v>1</v>
      </c>
      <c r="G637" s="1">
        <v>115</v>
      </c>
      <c r="H637" s="1">
        <v>63</v>
      </c>
      <c r="I637" s="5">
        <v>45897</v>
      </c>
      <c r="J637" t="s">
        <v>46</v>
      </c>
      <c r="K637" t="s">
        <v>24</v>
      </c>
      <c r="L637" t="s">
        <v>25</v>
      </c>
      <c r="M637" s="1">
        <f>(orders[[#This Row],[Revenue]]-orders[[#This Row],[Cost]])</f>
        <v>52</v>
      </c>
      <c r="N637" s="8">
        <f>IFERROR(orders[[#This Row],[profit]]/orders[[#This Row],[Revenue]],0)</f>
        <v>0.45217391304347826</v>
      </c>
      <c r="O637">
        <f>IF(orders[[#This Row],[Delivery Date]]="","",(orders[[#This Row],[Delivery Date]]-orders[[#This Row],[Date]]))</f>
        <v>3</v>
      </c>
      <c r="P637" t="str">
        <f>IF(orders[[#This Row],[delivery days]]="","Not Delivered",IF(orders[[#This Row],[delivery days]]&lt;=2,"Fast",IF(orders[[#This Row],[delivery days]]&lt;=5,"Normal","Delayed")))</f>
        <v>Normal</v>
      </c>
    </row>
    <row r="638" spans="1:16" x14ac:dyDescent="0.25">
      <c r="A638" t="s">
        <v>774</v>
      </c>
      <c r="B638" s="5">
        <v>45894</v>
      </c>
      <c r="C638" t="s">
        <v>171</v>
      </c>
      <c r="D638" t="s">
        <v>177</v>
      </c>
      <c r="E638" t="s">
        <v>34</v>
      </c>
      <c r="F638">
        <v>2</v>
      </c>
      <c r="G638" s="1">
        <v>290</v>
      </c>
      <c r="H638" s="1">
        <v>156</v>
      </c>
      <c r="I638" s="5">
        <v>45897</v>
      </c>
      <c r="J638" t="s">
        <v>101</v>
      </c>
      <c r="K638" t="s">
        <v>47</v>
      </c>
      <c r="L638" t="s">
        <v>25</v>
      </c>
      <c r="M638" s="1">
        <f>(orders[[#This Row],[Revenue]]-orders[[#This Row],[Cost]])</f>
        <v>134</v>
      </c>
      <c r="N638" s="8">
        <f>IFERROR(orders[[#This Row],[profit]]/orders[[#This Row],[Revenue]],0)</f>
        <v>0.46206896551724136</v>
      </c>
      <c r="O638">
        <f>IF(orders[[#This Row],[Delivery Date]]="","",(orders[[#This Row],[Delivery Date]]-orders[[#This Row],[Date]]))</f>
        <v>3</v>
      </c>
      <c r="P638" t="str">
        <f>IF(orders[[#This Row],[delivery days]]="","Not Delivered",IF(orders[[#This Row],[delivery days]]&lt;=2,"Fast",IF(orders[[#This Row],[delivery days]]&lt;=5,"Normal","Delayed")))</f>
        <v>Normal</v>
      </c>
    </row>
    <row r="639" spans="1:16" x14ac:dyDescent="0.25">
      <c r="A639" t="s">
        <v>775</v>
      </c>
      <c r="B639" s="5">
        <v>45894</v>
      </c>
      <c r="C639" t="s">
        <v>139</v>
      </c>
      <c r="D639" t="s">
        <v>159</v>
      </c>
      <c r="E639" t="s">
        <v>39</v>
      </c>
      <c r="F639">
        <v>2</v>
      </c>
      <c r="G639" s="1">
        <v>213.4</v>
      </c>
      <c r="H639" s="1">
        <v>124</v>
      </c>
      <c r="I639" s="5">
        <v>45897</v>
      </c>
      <c r="J639" t="s">
        <v>46</v>
      </c>
      <c r="K639" t="s">
        <v>24</v>
      </c>
      <c r="L639" t="s">
        <v>25</v>
      </c>
      <c r="M639" s="1">
        <f>(orders[[#This Row],[Revenue]]-orders[[#This Row],[Cost]])</f>
        <v>89.4</v>
      </c>
      <c r="N639" s="8">
        <f>IFERROR(orders[[#This Row],[profit]]/orders[[#This Row],[Revenue]],0)</f>
        <v>0.41893158388003748</v>
      </c>
      <c r="O639">
        <f>IF(orders[[#This Row],[Delivery Date]]="","",(orders[[#This Row],[Delivery Date]]-orders[[#This Row],[Date]]))</f>
        <v>3</v>
      </c>
      <c r="P639" t="str">
        <f>IF(orders[[#This Row],[delivery days]]="","Not Delivered",IF(orders[[#This Row],[delivery days]]&lt;=2,"Fast",IF(orders[[#This Row],[delivery days]]&lt;=5,"Normal","Delayed")))</f>
        <v>Normal</v>
      </c>
    </row>
    <row r="640" spans="1:16" x14ac:dyDescent="0.25">
      <c r="A640" t="s">
        <v>776</v>
      </c>
      <c r="B640" s="5">
        <v>45894</v>
      </c>
      <c r="C640" t="s">
        <v>88</v>
      </c>
      <c r="D640" t="s">
        <v>21</v>
      </c>
      <c r="E640" t="s">
        <v>22</v>
      </c>
      <c r="F640">
        <v>1</v>
      </c>
      <c r="G640" s="1">
        <v>32</v>
      </c>
      <c r="H640" s="1">
        <v>13</v>
      </c>
      <c r="I640" s="5">
        <v>45897</v>
      </c>
      <c r="J640" t="s">
        <v>30</v>
      </c>
      <c r="K640" t="s">
        <v>17</v>
      </c>
      <c r="L640" t="s">
        <v>25</v>
      </c>
      <c r="M640" s="1">
        <f>(orders[[#This Row],[Revenue]]-orders[[#This Row],[Cost]])</f>
        <v>19</v>
      </c>
      <c r="N640" s="8">
        <f>IFERROR(orders[[#This Row],[profit]]/orders[[#This Row],[Revenue]],0)</f>
        <v>0.59375</v>
      </c>
      <c r="O640">
        <f>IF(orders[[#This Row],[Delivery Date]]="","",(orders[[#This Row],[Delivery Date]]-orders[[#This Row],[Date]]))</f>
        <v>3</v>
      </c>
      <c r="P640" t="str">
        <f>IF(orders[[#This Row],[delivery days]]="","Not Delivered",IF(orders[[#This Row],[delivery days]]&lt;=2,"Fast",IF(orders[[#This Row],[delivery days]]&lt;=5,"Normal","Delayed")))</f>
        <v>Normal</v>
      </c>
    </row>
    <row r="641" spans="1:16" x14ac:dyDescent="0.25">
      <c r="A641" t="s">
        <v>777</v>
      </c>
      <c r="B641" s="5">
        <v>45895</v>
      </c>
      <c r="C641" t="s">
        <v>82</v>
      </c>
      <c r="D641" t="s">
        <v>28</v>
      </c>
      <c r="E641" t="s">
        <v>29</v>
      </c>
      <c r="F641">
        <v>2</v>
      </c>
      <c r="G641" s="1">
        <v>48</v>
      </c>
      <c r="H641" s="1">
        <v>17.64</v>
      </c>
      <c r="I641" s="5">
        <v>45899</v>
      </c>
      <c r="J641" t="s">
        <v>23</v>
      </c>
      <c r="K641" t="s">
        <v>24</v>
      </c>
      <c r="L641" t="s">
        <v>25</v>
      </c>
      <c r="M641" s="1">
        <f>(orders[[#This Row],[Revenue]]-orders[[#This Row],[Cost]])</f>
        <v>30.36</v>
      </c>
      <c r="N641" s="8">
        <f>IFERROR(orders[[#This Row],[profit]]/orders[[#This Row],[Revenue]],0)</f>
        <v>0.63249999999999995</v>
      </c>
      <c r="O641">
        <f>IF(orders[[#This Row],[Delivery Date]]="","",(orders[[#This Row],[Delivery Date]]-orders[[#This Row],[Date]]))</f>
        <v>4</v>
      </c>
      <c r="P641" t="str">
        <f>IF(orders[[#This Row],[delivery days]]="","Not Delivered",IF(orders[[#This Row],[delivery days]]&lt;=2,"Fast",IF(orders[[#This Row],[delivery days]]&lt;=5,"Normal","Delayed")))</f>
        <v>Normal</v>
      </c>
    </row>
    <row r="642" spans="1:16" x14ac:dyDescent="0.25">
      <c r="A642" t="s">
        <v>778</v>
      </c>
      <c r="B642" s="5">
        <v>45895</v>
      </c>
      <c r="C642" t="s">
        <v>54</v>
      </c>
      <c r="D642" t="s">
        <v>289</v>
      </c>
      <c r="E642" t="s">
        <v>22</v>
      </c>
      <c r="F642">
        <v>1</v>
      </c>
      <c r="G642" s="1">
        <v>62</v>
      </c>
      <c r="H642" s="1">
        <v>29</v>
      </c>
      <c r="I642" s="5">
        <v>45897</v>
      </c>
      <c r="J642" t="s">
        <v>30</v>
      </c>
      <c r="K642" t="s">
        <v>35</v>
      </c>
      <c r="L642" t="s">
        <v>25</v>
      </c>
      <c r="M642" s="1">
        <f>(orders[[#This Row],[Revenue]]-orders[[#This Row],[Cost]])</f>
        <v>33</v>
      </c>
      <c r="N642" s="8">
        <f>IFERROR(orders[[#This Row],[profit]]/orders[[#This Row],[Revenue]],0)</f>
        <v>0.532258064516129</v>
      </c>
      <c r="O642">
        <f>IF(orders[[#This Row],[Delivery Date]]="","",(orders[[#This Row],[Delivery Date]]-orders[[#This Row],[Date]]))</f>
        <v>2</v>
      </c>
      <c r="P642" t="str">
        <f>IF(orders[[#This Row],[delivery days]]="","Not Delivered",IF(orders[[#This Row],[delivery days]]&lt;=2,"Fast",IF(orders[[#This Row],[delivery days]]&lt;=5,"Normal","Delayed")))</f>
        <v>Fast</v>
      </c>
    </row>
    <row r="643" spans="1:16" x14ac:dyDescent="0.25">
      <c r="A643" t="s">
        <v>779</v>
      </c>
      <c r="B643" s="5">
        <v>45896</v>
      </c>
      <c r="C643" t="s">
        <v>243</v>
      </c>
      <c r="D643" t="s">
        <v>163</v>
      </c>
      <c r="E643" t="s">
        <v>39</v>
      </c>
      <c r="F643">
        <v>2</v>
      </c>
      <c r="G643" s="1">
        <v>190</v>
      </c>
      <c r="H643" s="1">
        <v>104</v>
      </c>
      <c r="I643" s="5">
        <v>45900</v>
      </c>
      <c r="J643" t="s">
        <v>101</v>
      </c>
      <c r="K643" t="s">
        <v>47</v>
      </c>
      <c r="L643" t="s">
        <v>25</v>
      </c>
      <c r="M643" s="1">
        <f>(orders[[#This Row],[Revenue]]-orders[[#This Row],[Cost]])</f>
        <v>86</v>
      </c>
      <c r="N643" s="8">
        <f>IFERROR(orders[[#This Row],[profit]]/orders[[#This Row],[Revenue]],0)</f>
        <v>0.45263157894736844</v>
      </c>
      <c r="O643">
        <f>IF(orders[[#This Row],[Delivery Date]]="","",(orders[[#This Row],[Delivery Date]]-orders[[#This Row],[Date]]))</f>
        <v>4</v>
      </c>
      <c r="P643" t="str">
        <f>IF(orders[[#This Row],[delivery days]]="","Not Delivered",IF(orders[[#This Row],[delivery days]]&lt;=2,"Fast",IF(orders[[#This Row],[delivery days]]&lt;=5,"Normal","Delayed")))</f>
        <v>Normal</v>
      </c>
    </row>
    <row r="644" spans="1:16" x14ac:dyDescent="0.25">
      <c r="A644" t="s">
        <v>780</v>
      </c>
      <c r="B644" s="5">
        <v>45896</v>
      </c>
      <c r="C644" t="s">
        <v>72</v>
      </c>
      <c r="D644" t="s">
        <v>168</v>
      </c>
      <c r="E644" t="s">
        <v>29</v>
      </c>
      <c r="F644">
        <v>1</v>
      </c>
      <c r="G644" s="1">
        <v>22</v>
      </c>
      <c r="H644" s="1">
        <v>8.16</v>
      </c>
      <c r="I644" s="5">
        <v>45898</v>
      </c>
      <c r="J644" t="s">
        <v>101</v>
      </c>
      <c r="K644" t="s">
        <v>35</v>
      </c>
      <c r="L644" t="s">
        <v>25</v>
      </c>
      <c r="M644" s="1">
        <f>(orders[[#This Row],[Revenue]]-orders[[#This Row],[Cost]])</f>
        <v>13.84</v>
      </c>
      <c r="N644" s="8">
        <f>IFERROR(orders[[#This Row],[profit]]/orders[[#This Row],[Revenue]],0)</f>
        <v>0.62909090909090903</v>
      </c>
      <c r="O644">
        <f>IF(orders[[#This Row],[Delivery Date]]="","",(orders[[#This Row],[Delivery Date]]-orders[[#This Row],[Date]]))</f>
        <v>2</v>
      </c>
      <c r="P644" t="str">
        <f>IF(orders[[#This Row],[delivery days]]="","Not Delivered",IF(orders[[#This Row],[delivery days]]&lt;=2,"Fast",IF(orders[[#This Row],[delivery days]]&lt;=5,"Normal","Delayed")))</f>
        <v>Fast</v>
      </c>
    </row>
    <row r="645" spans="1:16" x14ac:dyDescent="0.25">
      <c r="A645" t="s">
        <v>781</v>
      </c>
      <c r="B645" s="5">
        <v>45896</v>
      </c>
      <c r="C645" t="s">
        <v>204</v>
      </c>
      <c r="D645" t="s">
        <v>289</v>
      </c>
      <c r="E645" t="s">
        <v>22</v>
      </c>
      <c r="F645">
        <v>2</v>
      </c>
      <c r="G645" s="1">
        <v>124</v>
      </c>
      <c r="H645" s="1">
        <v>58</v>
      </c>
      <c r="I645" s="5">
        <v>45897</v>
      </c>
      <c r="J645" t="s">
        <v>101</v>
      </c>
      <c r="K645" t="s">
        <v>35</v>
      </c>
      <c r="L645" t="s">
        <v>25</v>
      </c>
      <c r="M645" s="1">
        <f>(orders[[#This Row],[Revenue]]-orders[[#This Row],[Cost]])</f>
        <v>66</v>
      </c>
      <c r="N645" s="8">
        <f>IFERROR(orders[[#This Row],[profit]]/orders[[#This Row],[Revenue]],0)</f>
        <v>0.532258064516129</v>
      </c>
      <c r="O645">
        <f>IF(orders[[#This Row],[Delivery Date]]="","",(orders[[#This Row],[Delivery Date]]-orders[[#This Row],[Date]]))</f>
        <v>1</v>
      </c>
      <c r="P645" t="str">
        <f>IF(orders[[#This Row],[delivery days]]="","Not Delivered",IF(orders[[#This Row],[delivery days]]&lt;=2,"Fast",IF(orders[[#This Row],[delivery days]]&lt;=5,"Normal","Delayed")))</f>
        <v>Fast</v>
      </c>
    </row>
    <row r="646" spans="1:16" x14ac:dyDescent="0.25">
      <c r="A646" t="s">
        <v>782</v>
      </c>
      <c r="B646" s="5">
        <v>45896</v>
      </c>
      <c r="C646" t="s">
        <v>259</v>
      </c>
      <c r="D646" t="s">
        <v>76</v>
      </c>
      <c r="E646" t="s">
        <v>77</v>
      </c>
      <c r="F646">
        <v>1</v>
      </c>
      <c r="G646" s="1">
        <v>252.2</v>
      </c>
      <c r="H646" s="1">
        <v>165</v>
      </c>
      <c r="I646" s="5"/>
      <c r="J646" t="s">
        <v>30</v>
      </c>
      <c r="K646" t="s">
        <v>35</v>
      </c>
      <c r="L646" t="s">
        <v>103</v>
      </c>
      <c r="M646" s="1">
        <f>(orders[[#This Row],[Revenue]]-orders[[#This Row],[Cost]])</f>
        <v>87.199999999999989</v>
      </c>
      <c r="N646" s="8">
        <f>IFERROR(orders[[#This Row],[profit]]/orders[[#This Row],[Revenue]],0)</f>
        <v>0.34575733544805709</v>
      </c>
      <c r="O646" t="str">
        <f>IF(orders[[#This Row],[Delivery Date]]="","",(orders[[#This Row],[Delivery Date]]-orders[[#This Row],[Date]]))</f>
        <v/>
      </c>
      <c r="P646" t="str">
        <f>IF(orders[[#This Row],[delivery days]]="","Not Delivered",IF(orders[[#This Row],[delivery days]]&lt;=2,"Fast",IF(orders[[#This Row],[delivery days]]&lt;=5,"Normal","Delayed")))</f>
        <v>Not Delivered</v>
      </c>
    </row>
    <row r="647" spans="1:16" x14ac:dyDescent="0.25">
      <c r="A647" t="s">
        <v>783</v>
      </c>
      <c r="B647" s="5">
        <v>45896</v>
      </c>
      <c r="C647" t="s">
        <v>64</v>
      </c>
      <c r="D647" t="s">
        <v>208</v>
      </c>
      <c r="E647" t="s">
        <v>15</v>
      </c>
      <c r="F647">
        <v>2</v>
      </c>
      <c r="G647" s="1">
        <v>239.2</v>
      </c>
      <c r="H647" s="1">
        <v>152</v>
      </c>
      <c r="I647" s="5">
        <v>45900</v>
      </c>
      <c r="J647" t="s">
        <v>23</v>
      </c>
      <c r="K647" t="s">
        <v>24</v>
      </c>
      <c r="L647" t="s">
        <v>25</v>
      </c>
      <c r="M647" s="1">
        <f>(orders[[#This Row],[Revenue]]-orders[[#This Row],[Cost]])</f>
        <v>87.199999999999989</v>
      </c>
      <c r="N647" s="8">
        <f>IFERROR(orders[[#This Row],[profit]]/orders[[#This Row],[Revenue]],0)</f>
        <v>0.36454849498327757</v>
      </c>
      <c r="O647">
        <f>IF(orders[[#This Row],[Delivery Date]]="","",(orders[[#This Row],[Delivery Date]]-orders[[#This Row],[Date]]))</f>
        <v>4</v>
      </c>
      <c r="P647" t="str">
        <f>IF(orders[[#This Row],[delivery days]]="","Not Delivered",IF(orders[[#This Row],[delivery days]]&lt;=2,"Fast",IF(orders[[#This Row],[delivery days]]&lt;=5,"Normal","Delayed")))</f>
        <v>Normal</v>
      </c>
    </row>
    <row r="648" spans="1:16" x14ac:dyDescent="0.25">
      <c r="A648" t="s">
        <v>784</v>
      </c>
      <c r="B648" s="5">
        <v>45897</v>
      </c>
      <c r="C648" t="s">
        <v>176</v>
      </c>
      <c r="D648" t="s">
        <v>135</v>
      </c>
      <c r="E648" t="s">
        <v>62</v>
      </c>
      <c r="F648">
        <v>2</v>
      </c>
      <c r="G648" s="1">
        <v>230</v>
      </c>
      <c r="H648" s="1">
        <v>126</v>
      </c>
      <c r="I648" s="5">
        <v>45900</v>
      </c>
      <c r="J648" t="s">
        <v>46</v>
      </c>
      <c r="K648" t="s">
        <v>47</v>
      </c>
      <c r="L648" t="s">
        <v>25</v>
      </c>
      <c r="M648" s="1">
        <f>(orders[[#This Row],[Revenue]]-orders[[#This Row],[Cost]])</f>
        <v>104</v>
      </c>
      <c r="N648" s="8">
        <f>IFERROR(orders[[#This Row],[profit]]/orders[[#This Row],[Revenue]],0)</f>
        <v>0.45217391304347826</v>
      </c>
      <c r="O648">
        <f>IF(orders[[#This Row],[Delivery Date]]="","",(orders[[#This Row],[Delivery Date]]-orders[[#This Row],[Date]]))</f>
        <v>3</v>
      </c>
      <c r="P648" t="str">
        <f>IF(orders[[#This Row],[delivery days]]="","Not Delivered",IF(orders[[#This Row],[delivery days]]&lt;=2,"Fast",IF(orders[[#This Row],[delivery days]]&lt;=5,"Normal","Delayed")))</f>
        <v>Normal</v>
      </c>
    </row>
    <row r="649" spans="1:16" x14ac:dyDescent="0.25">
      <c r="A649" t="s">
        <v>785</v>
      </c>
      <c r="B649" s="5">
        <v>45897</v>
      </c>
      <c r="C649" t="s">
        <v>54</v>
      </c>
      <c r="D649" t="s">
        <v>38</v>
      </c>
      <c r="E649" t="s">
        <v>39</v>
      </c>
      <c r="F649">
        <v>3</v>
      </c>
      <c r="G649" s="1">
        <v>2754</v>
      </c>
      <c r="H649" s="1">
        <v>1830</v>
      </c>
      <c r="I649" s="5">
        <v>45901</v>
      </c>
      <c r="J649" t="s">
        <v>30</v>
      </c>
      <c r="K649" t="s">
        <v>17</v>
      </c>
      <c r="L649" t="s">
        <v>25</v>
      </c>
      <c r="M649" s="1">
        <f>(orders[[#This Row],[Revenue]]-orders[[#This Row],[Cost]])</f>
        <v>924</v>
      </c>
      <c r="N649" s="8">
        <f>IFERROR(orders[[#This Row],[profit]]/orders[[#This Row],[Revenue]],0)</f>
        <v>0.33551198257080611</v>
      </c>
      <c r="O649">
        <f>IF(orders[[#This Row],[Delivery Date]]="","",(orders[[#This Row],[Delivery Date]]-orders[[#This Row],[Date]]))</f>
        <v>4</v>
      </c>
      <c r="P649" t="str">
        <f>IF(orders[[#This Row],[delivery days]]="","Not Delivered",IF(orders[[#This Row],[delivery days]]&lt;=2,"Fast",IF(orders[[#This Row],[delivery days]]&lt;=5,"Normal","Delayed")))</f>
        <v>Normal</v>
      </c>
    </row>
    <row r="650" spans="1:16" x14ac:dyDescent="0.25">
      <c r="A650" t="s">
        <v>786</v>
      </c>
      <c r="B650" s="5">
        <v>45897</v>
      </c>
      <c r="C650" t="s">
        <v>210</v>
      </c>
      <c r="D650" t="s">
        <v>219</v>
      </c>
      <c r="E650" t="s">
        <v>34</v>
      </c>
      <c r="F650">
        <v>4</v>
      </c>
      <c r="G650" s="1">
        <v>115.36</v>
      </c>
      <c r="H650" s="1">
        <v>44.88</v>
      </c>
      <c r="I650" s="5">
        <v>45898</v>
      </c>
      <c r="J650" t="s">
        <v>16</v>
      </c>
      <c r="K650" t="s">
        <v>35</v>
      </c>
      <c r="L650" t="s">
        <v>25</v>
      </c>
      <c r="M650" s="1">
        <f>(orders[[#This Row],[Revenue]]-orders[[#This Row],[Cost]])</f>
        <v>70.47999999999999</v>
      </c>
      <c r="N650" s="8">
        <f>IFERROR(orders[[#This Row],[profit]]/orders[[#This Row],[Revenue]],0)</f>
        <v>0.61095700416088761</v>
      </c>
      <c r="O650">
        <f>IF(orders[[#This Row],[Delivery Date]]="","",(orders[[#This Row],[Delivery Date]]-orders[[#This Row],[Date]]))</f>
        <v>1</v>
      </c>
      <c r="P650" t="str">
        <f>IF(orders[[#This Row],[delivery days]]="","Not Delivered",IF(orders[[#This Row],[delivery days]]&lt;=2,"Fast",IF(orders[[#This Row],[delivery days]]&lt;=5,"Normal","Delayed")))</f>
        <v>Fast</v>
      </c>
    </row>
    <row r="651" spans="1:16" x14ac:dyDescent="0.25">
      <c r="A651" t="s">
        <v>787</v>
      </c>
      <c r="B651" s="5">
        <v>45897</v>
      </c>
      <c r="C651" t="s">
        <v>41</v>
      </c>
      <c r="D651" t="s">
        <v>224</v>
      </c>
      <c r="E651" t="s">
        <v>77</v>
      </c>
      <c r="F651">
        <v>2</v>
      </c>
      <c r="G651" s="1">
        <v>250</v>
      </c>
      <c r="H651" s="1">
        <v>134</v>
      </c>
      <c r="I651" s="5">
        <v>45901</v>
      </c>
      <c r="J651" t="s">
        <v>101</v>
      </c>
      <c r="K651" t="s">
        <v>35</v>
      </c>
      <c r="L651" t="s">
        <v>25</v>
      </c>
      <c r="M651" s="1">
        <f>(orders[[#This Row],[Revenue]]-orders[[#This Row],[Cost]])</f>
        <v>116</v>
      </c>
      <c r="N651" s="8">
        <f>IFERROR(orders[[#This Row],[profit]]/orders[[#This Row],[Revenue]],0)</f>
        <v>0.46400000000000002</v>
      </c>
      <c r="O651">
        <f>IF(orders[[#This Row],[Delivery Date]]="","",(orders[[#This Row],[Delivery Date]]-orders[[#This Row],[Date]]))</f>
        <v>4</v>
      </c>
      <c r="P651" t="str">
        <f>IF(orders[[#This Row],[delivery days]]="","Not Delivered",IF(orders[[#This Row],[delivery days]]&lt;=2,"Fast",IF(orders[[#This Row],[delivery days]]&lt;=5,"Normal","Delayed")))</f>
        <v>Normal</v>
      </c>
    </row>
    <row r="652" spans="1:16" x14ac:dyDescent="0.25">
      <c r="A652" t="s">
        <v>788</v>
      </c>
      <c r="B652" s="5">
        <v>45897</v>
      </c>
      <c r="C652" t="s">
        <v>41</v>
      </c>
      <c r="D652" t="s">
        <v>65</v>
      </c>
      <c r="E652" t="s">
        <v>62</v>
      </c>
      <c r="F652">
        <v>4</v>
      </c>
      <c r="G652" s="1">
        <v>176.64</v>
      </c>
      <c r="H652" s="1">
        <v>85.68</v>
      </c>
      <c r="I652" s="5">
        <v>45902</v>
      </c>
      <c r="J652" t="s">
        <v>101</v>
      </c>
      <c r="K652" t="s">
        <v>47</v>
      </c>
      <c r="L652" t="s">
        <v>25</v>
      </c>
      <c r="M652" s="1">
        <f>(orders[[#This Row],[Revenue]]-orders[[#This Row],[Cost]])</f>
        <v>90.95999999999998</v>
      </c>
      <c r="N652" s="8">
        <f>IFERROR(orders[[#This Row],[profit]]/orders[[#This Row],[Revenue]],0)</f>
        <v>0.51494565217391297</v>
      </c>
      <c r="O652">
        <f>IF(orders[[#This Row],[Delivery Date]]="","",(orders[[#This Row],[Delivery Date]]-orders[[#This Row],[Date]]))</f>
        <v>5</v>
      </c>
      <c r="P652" t="str">
        <f>IF(orders[[#This Row],[delivery days]]="","Not Delivered",IF(orders[[#This Row],[delivery days]]&lt;=2,"Fast",IF(orders[[#This Row],[delivery days]]&lt;=5,"Normal","Delayed")))</f>
        <v>Normal</v>
      </c>
    </row>
    <row r="653" spans="1:16" x14ac:dyDescent="0.25">
      <c r="A653" t="s">
        <v>789</v>
      </c>
      <c r="B653" s="5">
        <v>45898</v>
      </c>
      <c r="C653" t="s">
        <v>325</v>
      </c>
      <c r="D653" t="s">
        <v>110</v>
      </c>
      <c r="E653" t="s">
        <v>39</v>
      </c>
      <c r="F653">
        <v>3</v>
      </c>
      <c r="G653" s="1">
        <v>630</v>
      </c>
      <c r="H653" s="1">
        <v>375</v>
      </c>
      <c r="I653" s="5">
        <v>45901</v>
      </c>
      <c r="J653" t="s">
        <v>16</v>
      </c>
      <c r="K653" t="s">
        <v>35</v>
      </c>
      <c r="L653" t="s">
        <v>25</v>
      </c>
      <c r="M653" s="1">
        <f>(orders[[#This Row],[Revenue]]-orders[[#This Row],[Cost]])</f>
        <v>255</v>
      </c>
      <c r="N653" s="8">
        <f>IFERROR(orders[[#This Row],[profit]]/orders[[#This Row],[Revenue]],0)</f>
        <v>0.40476190476190477</v>
      </c>
      <c r="O653">
        <f>IF(orders[[#This Row],[Delivery Date]]="","",(orders[[#This Row],[Delivery Date]]-orders[[#This Row],[Date]]))</f>
        <v>3</v>
      </c>
      <c r="P653" t="str">
        <f>IF(orders[[#This Row],[delivery days]]="","Not Delivered",IF(orders[[#This Row],[delivery days]]&lt;=2,"Fast",IF(orders[[#This Row],[delivery days]]&lt;=5,"Normal","Delayed")))</f>
        <v>Normal</v>
      </c>
    </row>
    <row r="654" spans="1:16" x14ac:dyDescent="0.25">
      <c r="A654" t="s">
        <v>790</v>
      </c>
      <c r="B654" s="5">
        <v>45898</v>
      </c>
      <c r="C654" t="s">
        <v>94</v>
      </c>
      <c r="D654" t="s">
        <v>51</v>
      </c>
      <c r="E654" t="s">
        <v>34</v>
      </c>
      <c r="F654">
        <v>3</v>
      </c>
      <c r="G654" s="1">
        <v>255</v>
      </c>
      <c r="H654" s="1">
        <v>126</v>
      </c>
      <c r="I654" s="5">
        <v>45899</v>
      </c>
      <c r="J654" t="s">
        <v>30</v>
      </c>
      <c r="K654" t="s">
        <v>35</v>
      </c>
      <c r="L654" t="s">
        <v>25</v>
      </c>
      <c r="M654" s="1">
        <f>(orders[[#This Row],[Revenue]]-orders[[#This Row],[Cost]])</f>
        <v>129</v>
      </c>
      <c r="N654" s="8">
        <f>IFERROR(orders[[#This Row],[profit]]/orders[[#This Row],[Revenue]],0)</f>
        <v>0.50588235294117645</v>
      </c>
      <c r="O654">
        <f>IF(orders[[#This Row],[Delivery Date]]="","",(orders[[#This Row],[Delivery Date]]-orders[[#This Row],[Date]]))</f>
        <v>1</v>
      </c>
      <c r="P654" t="str">
        <f>IF(orders[[#This Row],[delivery days]]="","Not Delivered",IF(orders[[#This Row],[delivery days]]&lt;=2,"Fast",IF(orders[[#This Row],[delivery days]]&lt;=5,"Normal","Delayed")))</f>
        <v>Fast</v>
      </c>
    </row>
    <row r="655" spans="1:16" x14ac:dyDescent="0.25">
      <c r="A655" t="s">
        <v>791</v>
      </c>
      <c r="B655" s="5">
        <v>45900</v>
      </c>
      <c r="C655" t="s">
        <v>96</v>
      </c>
      <c r="D655" t="s">
        <v>289</v>
      </c>
      <c r="E655" t="s">
        <v>22</v>
      </c>
      <c r="F655">
        <v>2</v>
      </c>
      <c r="G655" s="1">
        <v>124</v>
      </c>
      <c r="H655" s="1">
        <v>59.16</v>
      </c>
      <c r="I655" s="5">
        <v>45903</v>
      </c>
      <c r="J655" t="s">
        <v>30</v>
      </c>
      <c r="K655" t="s">
        <v>17</v>
      </c>
      <c r="L655" t="s">
        <v>25</v>
      </c>
      <c r="M655" s="1">
        <f>(orders[[#This Row],[Revenue]]-orders[[#This Row],[Cost]])</f>
        <v>64.84</v>
      </c>
      <c r="N655" s="8">
        <f>IFERROR(orders[[#This Row],[profit]]/orders[[#This Row],[Revenue]],0)</f>
        <v>0.52290322580645165</v>
      </c>
      <c r="O655">
        <f>IF(orders[[#This Row],[Delivery Date]]="","",(orders[[#This Row],[Delivery Date]]-orders[[#This Row],[Date]]))</f>
        <v>3</v>
      </c>
      <c r="P655" t="str">
        <f>IF(orders[[#This Row],[delivery days]]="","Not Delivered",IF(orders[[#This Row],[delivery days]]&lt;=2,"Fast",IF(orders[[#This Row],[delivery days]]&lt;=5,"Normal","Delayed")))</f>
        <v>Normal</v>
      </c>
    </row>
    <row r="656" spans="1:16" x14ac:dyDescent="0.25">
      <c r="A656" t="s">
        <v>792</v>
      </c>
      <c r="B656" s="5">
        <v>45900</v>
      </c>
      <c r="C656" t="s">
        <v>204</v>
      </c>
      <c r="D656" t="s">
        <v>86</v>
      </c>
      <c r="E656" t="s">
        <v>29</v>
      </c>
      <c r="F656">
        <v>3</v>
      </c>
      <c r="G656" s="1">
        <v>93.96</v>
      </c>
      <c r="H656" s="1">
        <v>36</v>
      </c>
      <c r="I656" s="5">
        <v>45903</v>
      </c>
      <c r="J656" t="s">
        <v>30</v>
      </c>
      <c r="K656" t="s">
        <v>17</v>
      </c>
      <c r="L656" t="s">
        <v>25</v>
      </c>
      <c r="M656" s="1">
        <f>(orders[[#This Row],[Revenue]]-orders[[#This Row],[Cost]])</f>
        <v>57.959999999999994</v>
      </c>
      <c r="N656" s="8">
        <f>IFERROR(orders[[#This Row],[profit]]/orders[[#This Row],[Revenue]],0)</f>
        <v>0.61685823754789271</v>
      </c>
      <c r="O656">
        <f>IF(orders[[#This Row],[Delivery Date]]="","",(orders[[#This Row],[Delivery Date]]-orders[[#This Row],[Date]]))</f>
        <v>3</v>
      </c>
      <c r="P656" t="str">
        <f>IF(orders[[#This Row],[delivery days]]="","Not Delivered",IF(orders[[#This Row],[delivery days]]&lt;=2,"Fast",IF(orders[[#This Row],[delivery days]]&lt;=5,"Normal","Delayed")))</f>
        <v>Normal</v>
      </c>
    </row>
    <row r="657" spans="1:16" x14ac:dyDescent="0.25">
      <c r="A657" t="s">
        <v>793</v>
      </c>
      <c r="B657" s="5">
        <v>45900</v>
      </c>
      <c r="C657" t="s">
        <v>57</v>
      </c>
      <c r="D657" t="s">
        <v>235</v>
      </c>
      <c r="E657" t="s">
        <v>15</v>
      </c>
      <c r="F657">
        <v>4</v>
      </c>
      <c r="G657" s="1">
        <v>260</v>
      </c>
      <c r="H657" s="1">
        <v>124</v>
      </c>
      <c r="I657" s="5">
        <v>45901</v>
      </c>
      <c r="J657" t="s">
        <v>46</v>
      </c>
      <c r="K657" t="s">
        <v>47</v>
      </c>
      <c r="L657" t="s">
        <v>25</v>
      </c>
      <c r="M657" s="1">
        <f>(orders[[#This Row],[Revenue]]-orders[[#This Row],[Cost]])</f>
        <v>136</v>
      </c>
      <c r="N657" s="8">
        <f>IFERROR(orders[[#This Row],[profit]]/orders[[#This Row],[Revenue]],0)</f>
        <v>0.52307692307692311</v>
      </c>
      <c r="O657">
        <f>IF(orders[[#This Row],[Delivery Date]]="","",(orders[[#This Row],[Delivery Date]]-orders[[#This Row],[Date]]))</f>
        <v>1</v>
      </c>
      <c r="P657" t="str">
        <f>IF(orders[[#This Row],[delivery days]]="","Not Delivered",IF(orders[[#This Row],[delivery days]]&lt;=2,"Fast",IF(orders[[#This Row],[delivery days]]&lt;=5,"Normal","Delayed")))</f>
        <v>Fast</v>
      </c>
    </row>
    <row r="658" spans="1:16" x14ac:dyDescent="0.25">
      <c r="A658" t="s">
        <v>794</v>
      </c>
      <c r="B658" s="5">
        <v>45900</v>
      </c>
      <c r="C658" t="s">
        <v>88</v>
      </c>
      <c r="D658" t="s">
        <v>45</v>
      </c>
      <c r="E658" t="s">
        <v>34</v>
      </c>
      <c r="F658">
        <v>1</v>
      </c>
      <c r="G658" s="1">
        <v>74.16</v>
      </c>
      <c r="H658" s="1">
        <v>31</v>
      </c>
      <c r="I658" s="5">
        <v>45903</v>
      </c>
      <c r="J658" t="s">
        <v>46</v>
      </c>
      <c r="K658" t="s">
        <v>47</v>
      </c>
      <c r="L658" t="s">
        <v>25</v>
      </c>
      <c r="M658" s="1">
        <f>(orders[[#This Row],[Revenue]]-orders[[#This Row],[Cost]])</f>
        <v>43.16</v>
      </c>
      <c r="N658" s="8">
        <f>IFERROR(orders[[#This Row],[profit]]/orders[[#This Row],[Revenue]],0)</f>
        <v>0.58198489751887805</v>
      </c>
      <c r="O658">
        <f>IF(orders[[#This Row],[Delivery Date]]="","",(orders[[#This Row],[Delivery Date]]-orders[[#This Row],[Date]]))</f>
        <v>3</v>
      </c>
      <c r="P658" t="str">
        <f>IF(orders[[#This Row],[delivery days]]="","Not Delivered",IF(orders[[#This Row],[delivery days]]&lt;=2,"Fast",IF(orders[[#This Row],[delivery days]]&lt;=5,"Normal","Delayed")))</f>
        <v>Normal</v>
      </c>
    </row>
    <row r="659" spans="1:16" x14ac:dyDescent="0.25">
      <c r="A659" t="s">
        <v>795</v>
      </c>
      <c r="B659" s="5">
        <v>45901</v>
      </c>
      <c r="C659" t="s">
        <v>121</v>
      </c>
      <c r="D659" t="s">
        <v>70</v>
      </c>
      <c r="E659" t="s">
        <v>62</v>
      </c>
      <c r="F659">
        <v>3</v>
      </c>
      <c r="G659" s="1">
        <v>437.4</v>
      </c>
      <c r="H659" s="1">
        <v>234</v>
      </c>
      <c r="I659" s="5">
        <v>45902</v>
      </c>
      <c r="J659" t="s">
        <v>30</v>
      </c>
      <c r="K659" t="s">
        <v>35</v>
      </c>
      <c r="L659" t="s">
        <v>25</v>
      </c>
      <c r="M659" s="1">
        <f>(orders[[#This Row],[Revenue]]-orders[[#This Row],[Cost]])</f>
        <v>203.39999999999998</v>
      </c>
      <c r="N659" s="8">
        <f>IFERROR(orders[[#This Row],[profit]]/orders[[#This Row],[Revenue]],0)</f>
        <v>0.46502057613168724</v>
      </c>
      <c r="O659">
        <f>IF(orders[[#This Row],[Delivery Date]]="","",(orders[[#This Row],[Delivery Date]]-orders[[#This Row],[Date]]))</f>
        <v>1</v>
      </c>
      <c r="P659" t="str">
        <f>IF(orders[[#This Row],[delivery days]]="","Not Delivered",IF(orders[[#This Row],[delivery days]]&lt;=2,"Fast",IF(orders[[#This Row],[delivery days]]&lt;=5,"Normal","Delayed")))</f>
        <v>Fast</v>
      </c>
    </row>
    <row r="660" spans="1:16" x14ac:dyDescent="0.25">
      <c r="A660" t="s">
        <v>796</v>
      </c>
      <c r="B660" s="5">
        <v>45901</v>
      </c>
      <c r="C660" t="s">
        <v>64</v>
      </c>
      <c r="D660" t="s">
        <v>21</v>
      </c>
      <c r="E660" t="s">
        <v>22</v>
      </c>
      <c r="F660">
        <v>1</v>
      </c>
      <c r="G660" s="1">
        <v>32</v>
      </c>
      <c r="H660" s="1">
        <v>13</v>
      </c>
      <c r="I660" s="5">
        <v>45907</v>
      </c>
      <c r="J660" t="s">
        <v>46</v>
      </c>
      <c r="K660" t="s">
        <v>24</v>
      </c>
      <c r="L660" t="s">
        <v>25</v>
      </c>
      <c r="M660" s="1">
        <f>(orders[[#This Row],[Revenue]]-orders[[#This Row],[Cost]])</f>
        <v>19</v>
      </c>
      <c r="N660" s="8">
        <f>IFERROR(orders[[#This Row],[profit]]/orders[[#This Row],[Revenue]],0)</f>
        <v>0.59375</v>
      </c>
      <c r="O660">
        <f>IF(orders[[#This Row],[Delivery Date]]="","",(orders[[#This Row],[Delivery Date]]-orders[[#This Row],[Date]]))</f>
        <v>6</v>
      </c>
      <c r="P660" t="str">
        <f>IF(orders[[#This Row],[delivery days]]="","Not Delivered",IF(orders[[#This Row],[delivery days]]&lt;=2,"Fast",IF(orders[[#This Row],[delivery days]]&lt;=5,"Normal","Delayed")))</f>
        <v>Delayed</v>
      </c>
    </row>
    <row r="661" spans="1:16" x14ac:dyDescent="0.25">
      <c r="A661" t="s">
        <v>797</v>
      </c>
      <c r="B661" s="5">
        <v>45901</v>
      </c>
      <c r="C661" t="s">
        <v>210</v>
      </c>
      <c r="D661" t="s">
        <v>119</v>
      </c>
      <c r="E661" t="s">
        <v>39</v>
      </c>
      <c r="F661">
        <v>5</v>
      </c>
      <c r="G661" s="1">
        <v>275</v>
      </c>
      <c r="H661" s="1">
        <v>140</v>
      </c>
      <c r="I661" s="5"/>
      <c r="J661" t="s">
        <v>30</v>
      </c>
      <c r="K661" t="s">
        <v>17</v>
      </c>
      <c r="L661" t="s">
        <v>42</v>
      </c>
      <c r="M661" s="1">
        <f>(orders[[#This Row],[Revenue]]-orders[[#This Row],[Cost]])</f>
        <v>135</v>
      </c>
      <c r="N661" s="8">
        <f>IFERROR(orders[[#This Row],[profit]]/orders[[#This Row],[Revenue]],0)</f>
        <v>0.49090909090909091</v>
      </c>
      <c r="O661" t="str">
        <f>IF(orders[[#This Row],[Delivery Date]]="","",(orders[[#This Row],[Delivery Date]]-orders[[#This Row],[Date]]))</f>
        <v/>
      </c>
      <c r="P661" t="str">
        <f>IF(orders[[#This Row],[delivery days]]="","Not Delivered",IF(orders[[#This Row],[delivery days]]&lt;=2,"Fast",IF(orders[[#This Row],[delivery days]]&lt;=5,"Normal","Delayed")))</f>
        <v>Not Delivered</v>
      </c>
    </row>
    <row r="662" spans="1:16" x14ac:dyDescent="0.25">
      <c r="A662" t="s">
        <v>798</v>
      </c>
      <c r="B662" s="5">
        <v>45903</v>
      </c>
      <c r="C662" t="s">
        <v>217</v>
      </c>
      <c r="D662" t="s">
        <v>179</v>
      </c>
      <c r="E662" t="s">
        <v>34</v>
      </c>
      <c r="F662">
        <v>1</v>
      </c>
      <c r="G662" s="1">
        <v>45</v>
      </c>
      <c r="H662" s="1">
        <v>19</v>
      </c>
      <c r="I662" s="5">
        <v>45904</v>
      </c>
      <c r="J662" t="s">
        <v>30</v>
      </c>
      <c r="K662" t="s">
        <v>35</v>
      </c>
      <c r="L662" t="s">
        <v>25</v>
      </c>
      <c r="M662" s="1">
        <f>(orders[[#This Row],[Revenue]]-orders[[#This Row],[Cost]])</f>
        <v>26</v>
      </c>
      <c r="N662" s="8">
        <f>IFERROR(orders[[#This Row],[profit]]/orders[[#This Row],[Revenue]],0)</f>
        <v>0.57777777777777772</v>
      </c>
      <c r="O662">
        <f>IF(orders[[#This Row],[Delivery Date]]="","",(orders[[#This Row],[Delivery Date]]-orders[[#This Row],[Date]]))</f>
        <v>1</v>
      </c>
      <c r="P662" t="str">
        <f>IF(orders[[#This Row],[delivery days]]="","Not Delivered",IF(orders[[#This Row],[delivery days]]&lt;=2,"Fast",IF(orders[[#This Row],[delivery days]]&lt;=5,"Normal","Delayed")))</f>
        <v>Fast</v>
      </c>
    </row>
    <row r="663" spans="1:16" x14ac:dyDescent="0.25">
      <c r="A663" t="s">
        <v>799</v>
      </c>
      <c r="B663" s="5">
        <v>45903</v>
      </c>
      <c r="C663" t="s">
        <v>90</v>
      </c>
      <c r="D663" t="s">
        <v>65</v>
      </c>
      <c r="E663" t="s">
        <v>62</v>
      </c>
      <c r="F663">
        <v>3</v>
      </c>
      <c r="G663" s="1">
        <v>139.68</v>
      </c>
      <c r="H663" s="1">
        <v>63</v>
      </c>
      <c r="I663" s="5">
        <v>45908</v>
      </c>
      <c r="J663" t="s">
        <v>16</v>
      </c>
      <c r="K663" t="s">
        <v>17</v>
      </c>
      <c r="L663" t="s">
        <v>25</v>
      </c>
      <c r="M663" s="1">
        <f>(orders[[#This Row],[Revenue]]-orders[[#This Row],[Cost]])</f>
        <v>76.680000000000007</v>
      </c>
      <c r="N663" s="8">
        <f>IFERROR(orders[[#This Row],[profit]]/orders[[#This Row],[Revenue]],0)</f>
        <v>0.5489690721649485</v>
      </c>
      <c r="O663">
        <f>IF(orders[[#This Row],[Delivery Date]]="","",(orders[[#This Row],[Delivery Date]]-orders[[#This Row],[Date]]))</f>
        <v>5</v>
      </c>
      <c r="P663" t="str">
        <f>IF(orders[[#This Row],[delivery days]]="","Not Delivered",IF(orders[[#This Row],[delivery days]]&lt;=2,"Fast",IF(orders[[#This Row],[delivery days]]&lt;=5,"Normal","Delayed")))</f>
        <v>Normal</v>
      </c>
    </row>
    <row r="664" spans="1:16" x14ac:dyDescent="0.25">
      <c r="A664" t="s">
        <v>800</v>
      </c>
      <c r="B664" s="5">
        <v>45903</v>
      </c>
      <c r="C664" t="s">
        <v>112</v>
      </c>
      <c r="D664" t="s">
        <v>51</v>
      </c>
      <c r="E664" t="s">
        <v>34</v>
      </c>
      <c r="F664">
        <v>1</v>
      </c>
      <c r="G664" s="1">
        <v>78.2</v>
      </c>
      <c r="H664" s="1">
        <v>41.16</v>
      </c>
      <c r="I664" s="5">
        <v>45907</v>
      </c>
      <c r="J664" t="s">
        <v>23</v>
      </c>
      <c r="K664" t="s">
        <v>24</v>
      </c>
      <c r="L664" t="s">
        <v>25</v>
      </c>
      <c r="M664" s="1">
        <f>(orders[[#This Row],[Revenue]]-orders[[#This Row],[Cost]])</f>
        <v>37.040000000000006</v>
      </c>
      <c r="N664" s="8">
        <f>IFERROR(orders[[#This Row],[profit]]/orders[[#This Row],[Revenue]],0)</f>
        <v>0.4736572890025576</v>
      </c>
      <c r="O664">
        <f>IF(orders[[#This Row],[Delivery Date]]="","",(orders[[#This Row],[Delivery Date]]-orders[[#This Row],[Date]]))</f>
        <v>4</v>
      </c>
      <c r="P664" t="str">
        <f>IF(orders[[#This Row],[delivery days]]="","Not Delivered",IF(orders[[#This Row],[delivery days]]&lt;=2,"Fast",IF(orders[[#This Row],[delivery days]]&lt;=5,"Normal","Delayed")))</f>
        <v>Normal</v>
      </c>
    </row>
    <row r="665" spans="1:16" x14ac:dyDescent="0.25">
      <c r="A665" t="s">
        <v>801</v>
      </c>
      <c r="B665" s="5">
        <v>45903</v>
      </c>
      <c r="C665" t="s">
        <v>37</v>
      </c>
      <c r="D665" t="s">
        <v>300</v>
      </c>
      <c r="E665" t="s">
        <v>77</v>
      </c>
      <c r="F665">
        <v>2</v>
      </c>
      <c r="G665" s="1">
        <v>780</v>
      </c>
      <c r="H665" s="1">
        <v>499.8</v>
      </c>
      <c r="I665" s="5">
        <v>45906</v>
      </c>
      <c r="J665" t="s">
        <v>52</v>
      </c>
      <c r="K665" t="s">
        <v>47</v>
      </c>
      <c r="L665" t="s">
        <v>25</v>
      </c>
      <c r="M665" s="1">
        <f>(orders[[#This Row],[Revenue]]-orders[[#This Row],[Cost]])</f>
        <v>280.2</v>
      </c>
      <c r="N665" s="8">
        <f>IFERROR(orders[[#This Row],[profit]]/orders[[#This Row],[Revenue]],0)</f>
        <v>0.35923076923076924</v>
      </c>
      <c r="O665">
        <f>IF(orders[[#This Row],[Delivery Date]]="","",(orders[[#This Row],[Delivery Date]]-orders[[#This Row],[Date]]))</f>
        <v>3</v>
      </c>
      <c r="P665" t="str">
        <f>IF(orders[[#This Row],[delivery days]]="","Not Delivered",IF(orders[[#This Row],[delivery days]]&lt;=2,"Fast",IF(orders[[#This Row],[delivery days]]&lt;=5,"Normal","Delayed")))</f>
        <v>Normal</v>
      </c>
    </row>
    <row r="666" spans="1:16" x14ac:dyDescent="0.25">
      <c r="A666" t="s">
        <v>802</v>
      </c>
      <c r="B666" s="5">
        <v>45904</v>
      </c>
      <c r="C666" t="s">
        <v>124</v>
      </c>
      <c r="D666" t="s">
        <v>266</v>
      </c>
      <c r="E666" t="s">
        <v>22</v>
      </c>
      <c r="F666">
        <v>1</v>
      </c>
      <c r="G666" s="1">
        <v>18</v>
      </c>
      <c r="H666" s="1">
        <v>7</v>
      </c>
      <c r="I666" s="5"/>
      <c r="J666" t="s">
        <v>30</v>
      </c>
      <c r="K666" t="s">
        <v>35</v>
      </c>
      <c r="L666" t="s">
        <v>42</v>
      </c>
      <c r="M666" s="1">
        <f>(orders[[#This Row],[Revenue]]-orders[[#This Row],[Cost]])</f>
        <v>11</v>
      </c>
      <c r="N666" s="8">
        <f>IFERROR(orders[[#This Row],[profit]]/orders[[#This Row],[Revenue]],0)</f>
        <v>0.61111111111111116</v>
      </c>
      <c r="O666" t="str">
        <f>IF(orders[[#This Row],[Delivery Date]]="","",(orders[[#This Row],[Delivery Date]]-orders[[#This Row],[Date]]))</f>
        <v/>
      </c>
      <c r="P666" t="str">
        <f>IF(orders[[#This Row],[delivery days]]="","Not Delivered",IF(orders[[#This Row],[delivery days]]&lt;=2,"Fast",IF(orders[[#This Row],[delivery days]]&lt;=5,"Normal","Delayed")))</f>
        <v>Not Delivered</v>
      </c>
    </row>
    <row r="667" spans="1:16" x14ac:dyDescent="0.25">
      <c r="A667" t="s">
        <v>803</v>
      </c>
      <c r="B667" s="5">
        <v>45904</v>
      </c>
      <c r="C667" t="s">
        <v>228</v>
      </c>
      <c r="D667" t="s">
        <v>308</v>
      </c>
      <c r="E667" t="s">
        <v>22</v>
      </c>
      <c r="F667">
        <v>5</v>
      </c>
      <c r="G667" s="1">
        <v>345</v>
      </c>
      <c r="H667" s="1">
        <v>170</v>
      </c>
      <c r="I667" s="5">
        <v>45909</v>
      </c>
      <c r="J667" t="s">
        <v>46</v>
      </c>
      <c r="K667" t="s">
        <v>24</v>
      </c>
      <c r="L667" t="s">
        <v>25</v>
      </c>
      <c r="M667" s="1">
        <f>(orders[[#This Row],[Revenue]]-orders[[#This Row],[Cost]])</f>
        <v>175</v>
      </c>
      <c r="N667" s="8">
        <f>IFERROR(orders[[#This Row],[profit]]/orders[[#This Row],[Revenue]],0)</f>
        <v>0.50724637681159424</v>
      </c>
      <c r="O667">
        <f>IF(orders[[#This Row],[Delivery Date]]="","",(orders[[#This Row],[Delivery Date]]-orders[[#This Row],[Date]]))</f>
        <v>5</v>
      </c>
      <c r="P667" t="str">
        <f>IF(orders[[#This Row],[delivery days]]="","Not Delivered",IF(orders[[#This Row],[delivery days]]&lt;=2,"Fast",IF(orders[[#This Row],[delivery days]]&lt;=5,"Normal","Delayed")))</f>
        <v>Normal</v>
      </c>
    </row>
    <row r="668" spans="1:16" x14ac:dyDescent="0.25">
      <c r="A668" t="s">
        <v>804</v>
      </c>
      <c r="B668" s="5">
        <v>45905</v>
      </c>
      <c r="C668" t="s">
        <v>200</v>
      </c>
      <c r="D668" t="s">
        <v>215</v>
      </c>
      <c r="E668" t="s">
        <v>62</v>
      </c>
      <c r="F668">
        <v>2</v>
      </c>
      <c r="G668" s="1">
        <v>440</v>
      </c>
      <c r="H668" s="1">
        <v>284</v>
      </c>
      <c r="I668" s="5">
        <v>45907</v>
      </c>
      <c r="J668" t="s">
        <v>30</v>
      </c>
      <c r="K668" t="s">
        <v>35</v>
      </c>
      <c r="L668" t="s">
        <v>25</v>
      </c>
      <c r="M668" s="1">
        <f>(orders[[#This Row],[Revenue]]-orders[[#This Row],[Cost]])</f>
        <v>156</v>
      </c>
      <c r="N668" s="8">
        <f>IFERROR(orders[[#This Row],[profit]]/orders[[#This Row],[Revenue]],0)</f>
        <v>0.35454545454545455</v>
      </c>
      <c r="O668">
        <f>IF(orders[[#This Row],[Delivery Date]]="","",(orders[[#This Row],[Delivery Date]]-orders[[#This Row],[Date]]))</f>
        <v>2</v>
      </c>
      <c r="P668" t="str">
        <f>IF(orders[[#This Row],[delivery days]]="","Not Delivered",IF(orders[[#This Row],[delivery days]]&lt;=2,"Fast",IF(orders[[#This Row],[delivery days]]&lt;=5,"Normal","Delayed")))</f>
        <v>Fast</v>
      </c>
    </row>
    <row r="669" spans="1:16" x14ac:dyDescent="0.25">
      <c r="A669" t="s">
        <v>805</v>
      </c>
      <c r="B669" s="5">
        <v>45905</v>
      </c>
      <c r="C669" t="s">
        <v>259</v>
      </c>
      <c r="D669" t="s">
        <v>215</v>
      </c>
      <c r="E669" t="s">
        <v>62</v>
      </c>
      <c r="F669">
        <v>1</v>
      </c>
      <c r="G669" s="1">
        <v>220</v>
      </c>
      <c r="H669" s="1">
        <v>139.16</v>
      </c>
      <c r="I669" s="5">
        <v>45909</v>
      </c>
      <c r="J669" t="s">
        <v>23</v>
      </c>
      <c r="K669" t="s">
        <v>17</v>
      </c>
      <c r="L669" t="s">
        <v>25</v>
      </c>
      <c r="M669" s="1">
        <f>(orders[[#This Row],[Revenue]]-orders[[#This Row],[Cost]])</f>
        <v>80.84</v>
      </c>
      <c r="N669" s="8">
        <f>IFERROR(orders[[#This Row],[profit]]/orders[[#This Row],[Revenue]],0)</f>
        <v>0.36745454545454548</v>
      </c>
      <c r="O669">
        <f>IF(orders[[#This Row],[Delivery Date]]="","",(orders[[#This Row],[Delivery Date]]-orders[[#This Row],[Date]]))</f>
        <v>4</v>
      </c>
      <c r="P669" t="str">
        <f>IF(orders[[#This Row],[delivery days]]="","Not Delivered",IF(orders[[#This Row],[delivery days]]&lt;=2,"Fast",IF(orders[[#This Row],[delivery days]]&lt;=5,"Normal","Delayed")))</f>
        <v>Normal</v>
      </c>
    </row>
    <row r="670" spans="1:16" x14ac:dyDescent="0.25">
      <c r="A670" t="s">
        <v>806</v>
      </c>
      <c r="B670" s="5">
        <v>45905</v>
      </c>
      <c r="C670" t="s">
        <v>72</v>
      </c>
      <c r="D670" t="s">
        <v>45</v>
      </c>
      <c r="E670" t="s">
        <v>34</v>
      </c>
      <c r="F670">
        <v>2</v>
      </c>
      <c r="G670" s="1">
        <v>144</v>
      </c>
      <c r="H670" s="1">
        <v>60.76</v>
      </c>
      <c r="I670" s="5">
        <v>45909</v>
      </c>
      <c r="J670" t="s">
        <v>16</v>
      </c>
      <c r="K670" t="s">
        <v>35</v>
      </c>
      <c r="L670" t="s">
        <v>25</v>
      </c>
      <c r="M670" s="1">
        <f>(orders[[#This Row],[Revenue]]-orders[[#This Row],[Cost]])</f>
        <v>83.240000000000009</v>
      </c>
      <c r="N670" s="8">
        <f>IFERROR(orders[[#This Row],[profit]]/orders[[#This Row],[Revenue]],0)</f>
        <v>0.57805555555555566</v>
      </c>
      <c r="O670">
        <f>IF(orders[[#This Row],[Delivery Date]]="","",(orders[[#This Row],[Delivery Date]]-orders[[#This Row],[Date]]))</f>
        <v>4</v>
      </c>
      <c r="P670" t="str">
        <f>IF(orders[[#This Row],[delivery days]]="","Not Delivered",IF(orders[[#This Row],[delivery days]]&lt;=2,"Fast",IF(orders[[#This Row],[delivery days]]&lt;=5,"Normal","Delayed")))</f>
        <v>Normal</v>
      </c>
    </row>
    <row r="671" spans="1:16" x14ac:dyDescent="0.25">
      <c r="A671" t="s">
        <v>807</v>
      </c>
      <c r="B671" s="5">
        <v>45906</v>
      </c>
      <c r="C671" t="s">
        <v>176</v>
      </c>
      <c r="D671" t="s">
        <v>129</v>
      </c>
      <c r="E671" t="s">
        <v>39</v>
      </c>
      <c r="F671">
        <v>1</v>
      </c>
      <c r="G671" s="1">
        <v>116.4</v>
      </c>
      <c r="H671" s="1">
        <v>68</v>
      </c>
      <c r="I671" s="5">
        <v>45911</v>
      </c>
      <c r="J671" t="s">
        <v>23</v>
      </c>
      <c r="K671" t="s">
        <v>24</v>
      </c>
      <c r="L671" t="s">
        <v>25</v>
      </c>
      <c r="M671" s="1">
        <f>(orders[[#This Row],[Revenue]]-orders[[#This Row],[Cost]])</f>
        <v>48.400000000000006</v>
      </c>
      <c r="N671" s="8">
        <f>IFERROR(orders[[#This Row],[profit]]/orders[[#This Row],[Revenue]],0)</f>
        <v>0.41580756013745707</v>
      </c>
      <c r="O671">
        <f>IF(orders[[#This Row],[Delivery Date]]="","",(orders[[#This Row],[Delivery Date]]-orders[[#This Row],[Date]]))</f>
        <v>5</v>
      </c>
      <c r="P671" t="str">
        <f>IF(orders[[#This Row],[delivery days]]="","Not Delivered",IF(orders[[#This Row],[delivery days]]&lt;=2,"Fast",IF(orders[[#This Row],[delivery days]]&lt;=5,"Normal","Delayed")))</f>
        <v>Normal</v>
      </c>
    </row>
    <row r="672" spans="1:16" x14ac:dyDescent="0.25">
      <c r="A672" t="s">
        <v>808</v>
      </c>
      <c r="B672" s="5">
        <v>45906</v>
      </c>
      <c r="C672" t="s">
        <v>69</v>
      </c>
      <c r="D672" t="s">
        <v>150</v>
      </c>
      <c r="E672" t="s">
        <v>77</v>
      </c>
      <c r="F672">
        <v>1</v>
      </c>
      <c r="G672" s="1">
        <v>82.45</v>
      </c>
      <c r="H672" s="1">
        <v>44</v>
      </c>
      <c r="I672" s="5">
        <v>45907</v>
      </c>
      <c r="J672" t="s">
        <v>30</v>
      </c>
      <c r="K672" t="s">
        <v>35</v>
      </c>
      <c r="L672" t="s">
        <v>25</v>
      </c>
      <c r="M672" s="1">
        <f>(orders[[#This Row],[Revenue]]-orders[[#This Row],[Cost]])</f>
        <v>38.450000000000003</v>
      </c>
      <c r="N672" s="8">
        <f>IFERROR(orders[[#This Row],[profit]]/orders[[#This Row],[Revenue]],0)</f>
        <v>0.46634323832625835</v>
      </c>
      <c r="O672">
        <f>IF(orders[[#This Row],[Delivery Date]]="","",(orders[[#This Row],[Delivery Date]]-orders[[#This Row],[Date]]))</f>
        <v>1</v>
      </c>
      <c r="P672" t="str">
        <f>IF(orders[[#This Row],[delivery days]]="","Not Delivered",IF(orders[[#This Row],[delivery days]]&lt;=2,"Fast",IF(orders[[#This Row],[delivery days]]&lt;=5,"Normal","Delayed")))</f>
        <v>Fast</v>
      </c>
    </row>
    <row r="673" spans="1:16" x14ac:dyDescent="0.25">
      <c r="A673" t="s">
        <v>809</v>
      </c>
      <c r="B673" s="5">
        <v>45906</v>
      </c>
      <c r="C673" t="s">
        <v>149</v>
      </c>
      <c r="D673" t="s">
        <v>97</v>
      </c>
      <c r="E673" t="s">
        <v>39</v>
      </c>
      <c r="F673">
        <v>1</v>
      </c>
      <c r="G673" s="1">
        <v>358.8</v>
      </c>
      <c r="H673" s="1">
        <v>260</v>
      </c>
      <c r="I673" s="5">
        <v>45909</v>
      </c>
      <c r="J673" t="s">
        <v>46</v>
      </c>
      <c r="K673" t="s">
        <v>47</v>
      </c>
      <c r="L673" t="s">
        <v>25</v>
      </c>
      <c r="M673" s="1">
        <f>(orders[[#This Row],[Revenue]]-orders[[#This Row],[Cost]])</f>
        <v>98.800000000000011</v>
      </c>
      <c r="N673" s="8">
        <f>IFERROR(orders[[#This Row],[profit]]/orders[[#This Row],[Revenue]],0)</f>
        <v>0.27536231884057971</v>
      </c>
      <c r="O673">
        <f>IF(orders[[#This Row],[Delivery Date]]="","",(orders[[#This Row],[Delivery Date]]-orders[[#This Row],[Date]]))</f>
        <v>3</v>
      </c>
      <c r="P673" t="str">
        <f>IF(orders[[#This Row],[delivery days]]="","Not Delivered",IF(orders[[#This Row],[delivery days]]&lt;=2,"Fast",IF(orders[[#This Row],[delivery days]]&lt;=5,"Normal","Delayed")))</f>
        <v>Normal</v>
      </c>
    </row>
    <row r="674" spans="1:16" x14ac:dyDescent="0.25">
      <c r="A674" t="s">
        <v>810</v>
      </c>
      <c r="B674" s="5">
        <v>45906</v>
      </c>
      <c r="C674" t="s">
        <v>195</v>
      </c>
      <c r="D674" t="s">
        <v>28</v>
      </c>
      <c r="E674" t="s">
        <v>29</v>
      </c>
      <c r="F674">
        <v>1</v>
      </c>
      <c r="G674" s="1">
        <v>24.72</v>
      </c>
      <c r="H674" s="1">
        <v>9.18</v>
      </c>
      <c r="I674" s="5">
        <v>45909</v>
      </c>
      <c r="J674" t="s">
        <v>46</v>
      </c>
      <c r="K674" t="s">
        <v>24</v>
      </c>
      <c r="L674" t="s">
        <v>25</v>
      </c>
      <c r="M674" s="1">
        <f>(orders[[#This Row],[Revenue]]-orders[[#This Row],[Cost]])</f>
        <v>15.54</v>
      </c>
      <c r="N674" s="8">
        <f>IFERROR(orders[[#This Row],[profit]]/orders[[#This Row],[Revenue]],0)</f>
        <v>0.62864077669902907</v>
      </c>
      <c r="O674">
        <f>IF(orders[[#This Row],[Delivery Date]]="","",(orders[[#This Row],[Delivery Date]]-orders[[#This Row],[Date]]))</f>
        <v>3</v>
      </c>
      <c r="P674" t="str">
        <f>IF(orders[[#This Row],[delivery days]]="","Not Delivered",IF(orders[[#This Row],[delivery days]]&lt;=2,"Fast",IF(orders[[#This Row],[delivery days]]&lt;=5,"Normal","Delayed")))</f>
        <v>Normal</v>
      </c>
    </row>
    <row r="675" spans="1:16" x14ac:dyDescent="0.25">
      <c r="A675" t="s">
        <v>811</v>
      </c>
      <c r="B675" s="5">
        <v>45906</v>
      </c>
      <c r="C675" t="s">
        <v>105</v>
      </c>
      <c r="D675" t="s">
        <v>61</v>
      </c>
      <c r="E675" t="s">
        <v>62</v>
      </c>
      <c r="F675">
        <v>2</v>
      </c>
      <c r="G675" s="1">
        <v>64</v>
      </c>
      <c r="H675" s="1">
        <v>28</v>
      </c>
      <c r="I675" s="5">
        <v>45911</v>
      </c>
      <c r="J675" t="s">
        <v>46</v>
      </c>
      <c r="K675" t="s">
        <v>24</v>
      </c>
      <c r="L675" t="s">
        <v>25</v>
      </c>
      <c r="M675" s="1">
        <f>(orders[[#This Row],[Revenue]]-orders[[#This Row],[Cost]])</f>
        <v>36</v>
      </c>
      <c r="N675" s="8">
        <f>IFERROR(orders[[#This Row],[profit]]/orders[[#This Row],[Revenue]],0)</f>
        <v>0.5625</v>
      </c>
      <c r="O675">
        <f>IF(orders[[#This Row],[Delivery Date]]="","",(orders[[#This Row],[Delivery Date]]-orders[[#This Row],[Date]]))</f>
        <v>5</v>
      </c>
      <c r="P675" t="str">
        <f>IF(orders[[#This Row],[delivery days]]="","Not Delivered",IF(orders[[#This Row],[delivery days]]&lt;=2,"Fast",IF(orders[[#This Row],[delivery days]]&lt;=5,"Normal","Delayed")))</f>
        <v>Normal</v>
      </c>
    </row>
    <row r="676" spans="1:16" x14ac:dyDescent="0.25">
      <c r="A676" t="s">
        <v>812</v>
      </c>
      <c r="B676" s="5">
        <v>45906</v>
      </c>
      <c r="C676" t="s">
        <v>155</v>
      </c>
      <c r="D676" t="s">
        <v>28</v>
      </c>
      <c r="E676" t="s">
        <v>29</v>
      </c>
      <c r="F676">
        <v>3</v>
      </c>
      <c r="G676" s="1">
        <v>66.239999999999995</v>
      </c>
      <c r="H676" s="1">
        <v>27.54</v>
      </c>
      <c r="I676" s="5">
        <v>45910</v>
      </c>
      <c r="J676" t="s">
        <v>23</v>
      </c>
      <c r="K676" t="s">
        <v>17</v>
      </c>
      <c r="L676" t="s">
        <v>25</v>
      </c>
      <c r="M676" s="1">
        <f>(orders[[#This Row],[Revenue]]-orders[[#This Row],[Cost]])</f>
        <v>38.699999999999996</v>
      </c>
      <c r="N676" s="8">
        <f>IFERROR(orders[[#This Row],[profit]]/orders[[#This Row],[Revenue]],0)</f>
        <v>0.58423913043478259</v>
      </c>
      <c r="O676">
        <f>IF(orders[[#This Row],[Delivery Date]]="","",(orders[[#This Row],[Delivery Date]]-orders[[#This Row],[Date]]))</f>
        <v>4</v>
      </c>
      <c r="P676" t="str">
        <f>IF(orders[[#This Row],[delivery days]]="","Not Delivered",IF(orders[[#This Row],[delivery days]]&lt;=2,"Fast",IF(orders[[#This Row],[delivery days]]&lt;=5,"Normal","Delayed")))</f>
        <v>Normal</v>
      </c>
    </row>
    <row r="677" spans="1:16" x14ac:dyDescent="0.25">
      <c r="A677" t="s">
        <v>813</v>
      </c>
      <c r="B677" s="5">
        <v>45906</v>
      </c>
      <c r="C677" t="s">
        <v>142</v>
      </c>
      <c r="D677" t="s">
        <v>150</v>
      </c>
      <c r="E677" t="s">
        <v>77</v>
      </c>
      <c r="F677">
        <v>1</v>
      </c>
      <c r="G677" s="1">
        <v>85</v>
      </c>
      <c r="H677" s="1">
        <v>44</v>
      </c>
      <c r="I677" s="5">
        <v>45910</v>
      </c>
      <c r="J677" t="s">
        <v>16</v>
      </c>
      <c r="K677" t="s">
        <v>17</v>
      </c>
      <c r="L677" t="s">
        <v>25</v>
      </c>
      <c r="M677" s="1">
        <f>(orders[[#This Row],[Revenue]]-orders[[#This Row],[Cost]])</f>
        <v>41</v>
      </c>
      <c r="N677" s="8">
        <f>IFERROR(orders[[#This Row],[profit]]/orders[[#This Row],[Revenue]],0)</f>
        <v>0.4823529411764706</v>
      </c>
      <c r="O677">
        <f>IF(orders[[#This Row],[Delivery Date]]="","",(orders[[#This Row],[Delivery Date]]-orders[[#This Row],[Date]]))</f>
        <v>4</v>
      </c>
      <c r="P677" t="str">
        <f>IF(orders[[#This Row],[delivery days]]="","Not Delivered",IF(orders[[#This Row],[delivery days]]&lt;=2,"Fast",IF(orders[[#This Row],[delivery days]]&lt;=5,"Normal","Delayed")))</f>
        <v>Normal</v>
      </c>
    </row>
    <row r="678" spans="1:16" x14ac:dyDescent="0.25">
      <c r="A678" t="s">
        <v>814</v>
      </c>
      <c r="B678" s="5">
        <v>45907</v>
      </c>
      <c r="C678" t="s">
        <v>204</v>
      </c>
      <c r="D678" t="s">
        <v>127</v>
      </c>
      <c r="E678" t="s">
        <v>29</v>
      </c>
      <c r="F678">
        <v>3</v>
      </c>
      <c r="G678" s="1">
        <v>52.38</v>
      </c>
      <c r="H678" s="1">
        <v>18</v>
      </c>
      <c r="I678" s="5">
        <v>45909</v>
      </c>
      <c r="J678" t="s">
        <v>16</v>
      </c>
      <c r="K678" t="s">
        <v>35</v>
      </c>
      <c r="L678" t="s">
        <v>25</v>
      </c>
      <c r="M678" s="1">
        <f>(orders[[#This Row],[Revenue]]-orders[[#This Row],[Cost]])</f>
        <v>34.380000000000003</v>
      </c>
      <c r="N678" s="8">
        <f>IFERROR(orders[[#This Row],[profit]]/orders[[#This Row],[Revenue]],0)</f>
        <v>0.6563573883161512</v>
      </c>
      <c r="O678">
        <f>IF(orders[[#This Row],[Delivery Date]]="","",(orders[[#This Row],[Delivery Date]]-orders[[#This Row],[Date]]))</f>
        <v>2</v>
      </c>
      <c r="P678" t="str">
        <f>IF(orders[[#This Row],[delivery days]]="","Not Delivered",IF(orders[[#This Row],[delivery days]]&lt;=2,"Fast",IF(orders[[#This Row],[delivery days]]&lt;=5,"Normal","Delayed")))</f>
        <v>Fast</v>
      </c>
    </row>
    <row r="679" spans="1:16" x14ac:dyDescent="0.25">
      <c r="A679" t="s">
        <v>815</v>
      </c>
      <c r="B679" s="5">
        <v>45908</v>
      </c>
      <c r="C679" t="s">
        <v>171</v>
      </c>
      <c r="D679" t="s">
        <v>113</v>
      </c>
      <c r="E679" t="s">
        <v>15</v>
      </c>
      <c r="F679">
        <v>5</v>
      </c>
      <c r="G679" s="1">
        <v>513</v>
      </c>
      <c r="H679" s="1">
        <v>235.2</v>
      </c>
      <c r="I679" s="5">
        <v>45913</v>
      </c>
      <c r="J679" t="s">
        <v>46</v>
      </c>
      <c r="K679" t="s">
        <v>24</v>
      </c>
      <c r="L679" t="s">
        <v>25</v>
      </c>
      <c r="M679" s="1">
        <f>(orders[[#This Row],[Revenue]]-orders[[#This Row],[Cost]])</f>
        <v>277.8</v>
      </c>
      <c r="N679" s="8">
        <f>IFERROR(orders[[#This Row],[profit]]/orders[[#This Row],[Revenue]],0)</f>
        <v>0.54152046783625729</v>
      </c>
      <c r="O679">
        <f>IF(orders[[#This Row],[Delivery Date]]="","",(orders[[#This Row],[Delivery Date]]-orders[[#This Row],[Date]]))</f>
        <v>5</v>
      </c>
      <c r="P679" t="str">
        <f>IF(orders[[#This Row],[delivery days]]="","Not Delivered",IF(orders[[#This Row],[delivery days]]&lt;=2,"Fast",IF(orders[[#This Row],[delivery days]]&lt;=5,"Normal","Delayed")))</f>
        <v>Normal</v>
      </c>
    </row>
    <row r="680" spans="1:16" x14ac:dyDescent="0.25">
      <c r="A680" t="s">
        <v>816</v>
      </c>
      <c r="B680" s="5">
        <v>45908</v>
      </c>
      <c r="C680" t="s">
        <v>67</v>
      </c>
      <c r="D680" t="s">
        <v>215</v>
      </c>
      <c r="E680" t="s">
        <v>62</v>
      </c>
      <c r="F680">
        <v>1</v>
      </c>
      <c r="G680" s="1">
        <v>213.4</v>
      </c>
      <c r="H680" s="1">
        <v>142</v>
      </c>
      <c r="I680" s="5">
        <v>45910</v>
      </c>
      <c r="J680" t="s">
        <v>101</v>
      </c>
      <c r="K680" t="s">
        <v>35</v>
      </c>
      <c r="L680" t="s">
        <v>25</v>
      </c>
      <c r="M680" s="1">
        <f>(orders[[#This Row],[Revenue]]-orders[[#This Row],[Cost]])</f>
        <v>71.400000000000006</v>
      </c>
      <c r="N680" s="8">
        <f>IFERROR(orders[[#This Row],[profit]]/orders[[#This Row],[Revenue]],0)</f>
        <v>0.33458294283036555</v>
      </c>
      <c r="O680">
        <f>IF(orders[[#This Row],[Delivery Date]]="","",(orders[[#This Row],[Delivery Date]]-orders[[#This Row],[Date]]))</f>
        <v>2</v>
      </c>
      <c r="P680" t="str">
        <f>IF(orders[[#This Row],[delivery days]]="","Not Delivered",IF(orders[[#This Row],[delivery days]]&lt;=2,"Fast",IF(orders[[#This Row],[delivery days]]&lt;=5,"Normal","Delayed")))</f>
        <v>Fast</v>
      </c>
    </row>
    <row r="681" spans="1:16" x14ac:dyDescent="0.25">
      <c r="A681" t="s">
        <v>817</v>
      </c>
      <c r="B681" s="5">
        <v>45909</v>
      </c>
      <c r="C681" t="s">
        <v>82</v>
      </c>
      <c r="D681" t="s">
        <v>108</v>
      </c>
      <c r="E681" t="s">
        <v>22</v>
      </c>
      <c r="F681">
        <v>1</v>
      </c>
      <c r="G681" s="1">
        <v>95</v>
      </c>
      <c r="H681" s="1">
        <v>42</v>
      </c>
      <c r="I681" s="5">
        <v>45911</v>
      </c>
      <c r="J681" t="s">
        <v>16</v>
      </c>
      <c r="K681" t="s">
        <v>35</v>
      </c>
      <c r="L681" t="s">
        <v>18</v>
      </c>
      <c r="M681" s="1">
        <f>(orders[[#This Row],[Revenue]]-orders[[#This Row],[Cost]])</f>
        <v>53</v>
      </c>
      <c r="N681" s="8">
        <f>IFERROR(orders[[#This Row],[profit]]/orders[[#This Row],[Revenue]],0)</f>
        <v>0.55789473684210522</v>
      </c>
      <c r="O681">
        <f>IF(orders[[#This Row],[Delivery Date]]="","",(orders[[#This Row],[Delivery Date]]-orders[[#This Row],[Date]]))</f>
        <v>2</v>
      </c>
      <c r="P681" t="str">
        <f>IF(orders[[#This Row],[delivery days]]="","Not Delivered",IF(orders[[#This Row],[delivery days]]&lt;=2,"Fast",IF(orders[[#This Row],[delivery days]]&lt;=5,"Normal","Delayed")))</f>
        <v>Fast</v>
      </c>
    </row>
    <row r="682" spans="1:16" x14ac:dyDescent="0.25">
      <c r="A682" t="s">
        <v>818</v>
      </c>
      <c r="B682" s="5">
        <v>45909</v>
      </c>
      <c r="C682" t="s">
        <v>96</v>
      </c>
      <c r="D682" t="s">
        <v>80</v>
      </c>
      <c r="E682" t="s">
        <v>77</v>
      </c>
      <c r="F682">
        <v>1</v>
      </c>
      <c r="G682" s="1">
        <v>75</v>
      </c>
      <c r="H682" s="1">
        <v>38</v>
      </c>
      <c r="I682" s="5">
        <v>45911</v>
      </c>
      <c r="J682" t="s">
        <v>101</v>
      </c>
      <c r="K682" t="s">
        <v>47</v>
      </c>
      <c r="L682" t="s">
        <v>25</v>
      </c>
      <c r="M682" s="1">
        <f>(orders[[#This Row],[Revenue]]-orders[[#This Row],[Cost]])</f>
        <v>37</v>
      </c>
      <c r="N682" s="8">
        <f>IFERROR(orders[[#This Row],[profit]]/orders[[#This Row],[Revenue]],0)</f>
        <v>0.49333333333333335</v>
      </c>
      <c r="O682">
        <f>IF(orders[[#This Row],[Delivery Date]]="","",(orders[[#This Row],[Delivery Date]]-orders[[#This Row],[Date]]))</f>
        <v>2</v>
      </c>
      <c r="P682" t="str">
        <f>IF(orders[[#This Row],[delivery days]]="","Not Delivered",IF(orders[[#This Row],[delivery days]]&lt;=2,"Fast",IF(orders[[#This Row],[delivery days]]&lt;=5,"Normal","Delayed")))</f>
        <v>Fast</v>
      </c>
    </row>
    <row r="683" spans="1:16" x14ac:dyDescent="0.25">
      <c r="A683" t="s">
        <v>819</v>
      </c>
      <c r="B683" s="5">
        <v>45909</v>
      </c>
      <c r="C683" t="s">
        <v>107</v>
      </c>
      <c r="D683" t="s">
        <v>125</v>
      </c>
      <c r="E683" t="s">
        <v>62</v>
      </c>
      <c r="F683">
        <v>2</v>
      </c>
      <c r="G683" s="1">
        <v>290</v>
      </c>
      <c r="H683" s="1">
        <v>167.28</v>
      </c>
      <c r="I683" s="5">
        <v>45911</v>
      </c>
      <c r="J683" t="s">
        <v>30</v>
      </c>
      <c r="K683" t="s">
        <v>35</v>
      </c>
      <c r="L683" t="s">
        <v>25</v>
      </c>
      <c r="M683" s="1">
        <f>(orders[[#This Row],[Revenue]]-orders[[#This Row],[Cost]])</f>
        <v>122.72</v>
      </c>
      <c r="N683" s="8">
        <f>IFERROR(orders[[#This Row],[profit]]/orders[[#This Row],[Revenue]],0)</f>
        <v>0.42317241379310344</v>
      </c>
      <c r="O683">
        <f>IF(orders[[#This Row],[Delivery Date]]="","",(orders[[#This Row],[Delivery Date]]-orders[[#This Row],[Date]]))</f>
        <v>2</v>
      </c>
      <c r="P683" t="str">
        <f>IF(orders[[#This Row],[delivery days]]="","Not Delivered",IF(orders[[#This Row],[delivery days]]&lt;=2,"Fast",IF(orders[[#This Row],[delivery days]]&lt;=5,"Normal","Delayed")))</f>
        <v>Fast</v>
      </c>
    </row>
    <row r="684" spans="1:16" x14ac:dyDescent="0.25">
      <c r="A684" t="s">
        <v>820</v>
      </c>
      <c r="B684" s="5">
        <v>45909</v>
      </c>
      <c r="C684" t="s">
        <v>142</v>
      </c>
      <c r="D684" t="s">
        <v>235</v>
      </c>
      <c r="E684" t="s">
        <v>15</v>
      </c>
      <c r="F684">
        <v>5</v>
      </c>
      <c r="G684" s="1">
        <v>325</v>
      </c>
      <c r="H684" s="1">
        <v>155</v>
      </c>
      <c r="I684" s="5">
        <v>45912</v>
      </c>
      <c r="J684" t="s">
        <v>16</v>
      </c>
      <c r="K684" t="s">
        <v>17</v>
      </c>
      <c r="L684" t="s">
        <v>25</v>
      </c>
      <c r="M684" s="1">
        <f>(orders[[#This Row],[Revenue]]-orders[[#This Row],[Cost]])</f>
        <v>170</v>
      </c>
      <c r="N684" s="8">
        <f>IFERROR(orders[[#This Row],[profit]]/orders[[#This Row],[Revenue]],0)</f>
        <v>0.52307692307692311</v>
      </c>
      <c r="O684">
        <f>IF(orders[[#This Row],[Delivery Date]]="","",(orders[[#This Row],[Delivery Date]]-orders[[#This Row],[Date]]))</f>
        <v>3</v>
      </c>
      <c r="P684" t="str">
        <f>IF(orders[[#This Row],[delivery days]]="","Not Delivered",IF(orders[[#This Row],[delivery days]]&lt;=2,"Fast",IF(orders[[#This Row],[delivery days]]&lt;=5,"Normal","Delayed")))</f>
        <v>Normal</v>
      </c>
    </row>
    <row r="685" spans="1:16" x14ac:dyDescent="0.25">
      <c r="A685" t="s">
        <v>821</v>
      </c>
      <c r="B685" s="5">
        <v>45910</v>
      </c>
      <c r="C685" t="s">
        <v>67</v>
      </c>
      <c r="D685" t="s">
        <v>76</v>
      </c>
      <c r="E685" t="s">
        <v>77</v>
      </c>
      <c r="F685">
        <v>2</v>
      </c>
      <c r="G685" s="1">
        <v>520</v>
      </c>
      <c r="H685" s="1">
        <v>336.6</v>
      </c>
      <c r="I685" s="5">
        <v>45912</v>
      </c>
      <c r="J685" t="s">
        <v>30</v>
      </c>
      <c r="K685" t="s">
        <v>35</v>
      </c>
      <c r="L685" t="s">
        <v>25</v>
      </c>
      <c r="M685" s="1">
        <f>(orders[[#This Row],[Revenue]]-orders[[#This Row],[Cost]])</f>
        <v>183.39999999999998</v>
      </c>
      <c r="N685" s="8">
        <f>IFERROR(orders[[#This Row],[profit]]/orders[[#This Row],[Revenue]],0)</f>
        <v>0.35269230769230764</v>
      </c>
      <c r="O685">
        <f>IF(orders[[#This Row],[Delivery Date]]="","",(orders[[#This Row],[Delivery Date]]-orders[[#This Row],[Date]]))</f>
        <v>2</v>
      </c>
      <c r="P685" t="str">
        <f>IF(orders[[#This Row],[delivery days]]="","Not Delivered",IF(orders[[#This Row],[delivery days]]&lt;=2,"Fast",IF(orders[[#This Row],[delivery days]]&lt;=5,"Normal","Delayed")))</f>
        <v>Fast</v>
      </c>
    </row>
    <row r="686" spans="1:16" x14ac:dyDescent="0.25">
      <c r="A686" t="s">
        <v>822</v>
      </c>
      <c r="B686" s="5">
        <v>45910</v>
      </c>
      <c r="C686" t="s">
        <v>41</v>
      </c>
      <c r="D686" t="s">
        <v>55</v>
      </c>
      <c r="E686" t="s">
        <v>39</v>
      </c>
      <c r="F686">
        <v>2</v>
      </c>
      <c r="G686" s="1">
        <v>772.8</v>
      </c>
      <c r="H686" s="1">
        <v>550</v>
      </c>
      <c r="I686" s="5">
        <v>45914</v>
      </c>
      <c r="J686" t="s">
        <v>30</v>
      </c>
      <c r="K686" t="s">
        <v>17</v>
      </c>
      <c r="L686" t="s">
        <v>25</v>
      </c>
      <c r="M686" s="1">
        <f>(orders[[#This Row],[Revenue]]-orders[[#This Row],[Cost]])</f>
        <v>222.79999999999995</v>
      </c>
      <c r="N686" s="8">
        <f>IFERROR(orders[[#This Row],[profit]]/orders[[#This Row],[Revenue]],0)</f>
        <v>0.2883022774327122</v>
      </c>
      <c r="O686">
        <f>IF(orders[[#This Row],[Delivery Date]]="","",(orders[[#This Row],[Delivery Date]]-orders[[#This Row],[Date]]))</f>
        <v>4</v>
      </c>
      <c r="P686" t="str">
        <f>IF(orders[[#This Row],[delivery days]]="","Not Delivered",IF(orders[[#This Row],[delivery days]]&lt;=2,"Fast",IF(orders[[#This Row],[delivery days]]&lt;=5,"Normal","Delayed")))</f>
        <v>Normal</v>
      </c>
    </row>
    <row r="687" spans="1:16" x14ac:dyDescent="0.25">
      <c r="A687" t="s">
        <v>823</v>
      </c>
      <c r="B687" s="5">
        <v>45911</v>
      </c>
      <c r="C687" t="s">
        <v>137</v>
      </c>
      <c r="D687" t="s">
        <v>129</v>
      </c>
      <c r="E687" t="s">
        <v>39</v>
      </c>
      <c r="F687">
        <v>2</v>
      </c>
      <c r="G687" s="1">
        <v>232.8</v>
      </c>
      <c r="H687" s="1">
        <v>138.72</v>
      </c>
      <c r="I687" s="5">
        <v>45913</v>
      </c>
      <c r="J687" t="s">
        <v>46</v>
      </c>
      <c r="K687" t="s">
        <v>24</v>
      </c>
      <c r="L687" t="s">
        <v>25</v>
      </c>
      <c r="M687" s="1">
        <f>(orders[[#This Row],[Revenue]]-orders[[#This Row],[Cost]])</f>
        <v>94.080000000000013</v>
      </c>
      <c r="N687" s="8">
        <f>IFERROR(orders[[#This Row],[profit]]/orders[[#This Row],[Revenue]],0)</f>
        <v>0.40412371134020619</v>
      </c>
      <c r="O687">
        <f>IF(orders[[#This Row],[Delivery Date]]="","",(orders[[#This Row],[Delivery Date]]-orders[[#This Row],[Date]]))</f>
        <v>2</v>
      </c>
      <c r="P687" t="str">
        <f>IF(orders[[#This Row],[delivery days]]="","Not Delivered",IF(orders[[#This Row],[delivery days]]&lt;=2,"Fast",IF(orders[[#This Row],[delivery days]]&lt;=5,"Normal","Delayed")))</f>
        <v>Fast</v>
      </c>
    </row>
    <row r="688" spans="1:16" x14ac:dyDescent="0.25">
      <c r="A688" t="s">
        <v>824</v>
      </c>
      <c r="B688" s="5">
        <v>45911</v>
      </c>
      <c r="C688" t="s">
        <v>278</v>
      </c>
      <c r="D688" t="s">
        <v>97</v>
      </c>
      <c r="E688" t="s">
        <v>39</v>
      </c>
      <c r="F688">
        <v>1</v>
      </c>
      <c r="G688" s="1">
        <v>401.7</v>
      </c>
      <c r="H688" s="1">
        <v>265.2</v>
      </c>
      <c r="I688" s="5">
        <v>45914</v>
      </c>
      <c r="J688" t="s">
        <v>101</v>
      </c>
      <c r="K688" t="s">
        <v>47</v>
      </c>
      <c r="L688" t="s">
        <v>25</v>
      </c>
      <c r="M688" s="1">
        <f>(orders[[#This Row],[Revenue]]-orders[[#This Row],[Cost]])</f>
        <v>136.5</v>
      </c>
      <c r="N688" s="8">
        <f>IFERROR(orders[[#This Row],[profit]]/orders[[#This Row],[Revenue]],0)</f>
        <v>0.33980582524271846</v>
      </c>
      <c r="O688">
        <f>IF(orders[[#This Row],[Delivery Date]]="","",(orders[[#This Row],[Delivery Date]]-orders[[#This Row],[Date]]))</f>
        <v>3</v>
      </c>
      <c r="P688" t="str">
        <f>IF(orders[[#This Row],[delivery days]]="","Not Delivered",IF(orders[[#This Row],[delivery days]]&lt;=2,"Fast",IF(orders[[#This Row],[delivery days]]&lt;=5,"Normal","Delayed")))</f>
        <v>Normal</v>
      </c>
    </row>
    <row r="689" spans="1:16" x14ac:dyDescent="0.25">
      <c r="A689" t="s">
        <v>825</v>
      </c>
      <c r="B689" s="5">
        <v>45911</v>
      </c>
      <c r="C689" t="s">
        <v>99</v>
      </c>
      <c r="D689" t="s">
        <v>76</v>
      </c>
      <c r="E689" t="s">
        <v>77</v>
      </c>
      <c r="F689">
        <v>2</v>
      </c>
      <c r="G689" s="1">
        <v>535.6</v>
      </c>
      <c r="H689" s="1">
        <v>330</v>
      </c>
      <c r="I689" s="5">
        <v>45913</v>
      </c>
      <c r="J689" t="s">
        <v>101</v>
      </c>
      <c r="K689" t="s">
        <v>35</v>
      </c>
      <c r="L689" t="s">
        <v>25</v>
      </c>
      <c r="M689" s="1">
        <f>(orders[[#This Row],[Revenue]]-orders[[#This Row],[Cost]])</f>
        <v>205.60000000000002</v>
      </c>
      <c r="N689" s="8">
        <f>IFERROR(orders[[#This Row],[profit]]/orders[[#This Row],[Revenue]],0)</f>
        <v>0.38386855862584018</v>
      </c>
      <c r="O689">
        <f>IF(orders[[#This Row],[Delivery Date]]="","",(orders[[#This Row],[Delivery Date]]-orders[[#This Row],[Date]]))</f>
        <v>2</v>
      </c>
      <c r="P689" t="str">
        <f>IF(orders[[#This Row],[delivery days]]="","Not Delivered",IF(orders[[#This Row],[delivery days]]&lt;=2,"Fast",IF(orders[[#This Row],[delivery days]]&lt;=5,"Normal","Delayed")))</f>
        <v>Fast</v>
      </c>
    </row>
    <row r="690" spans="1:16" x14ac:dyDescent="0.25">
      <c r="A690" t="s">
        <v>826</v>
      </c>
      <c r="B690" s="5">
        <v>45911</v>
      </c>
      <c r="C690" t="s">
        <v>49</v>
      </c>
      <c r="D690" t="s">
        <v>187</v>
      </c>
      <c r="E690" t="s">
        <v>15</v>
      </c>
      <c r="F690">
        <v>1</v>
      </c>
      <c r="G690" s="1">
        <v>35</v>
      </c>
      <c r="H690" s="1">
        <v>16</v>
      </c>
      <c r="I690" s="5">
        <v>45912</v>
      </c>
      <c r="J690" t="s">
        <v>16</v>
      </c>
      <c r="K690" t="s">
        <v>17</v>
      </c>
      <c r="L690" t="s">
        <v>25</v>
      </c>
      <c r="M690" s="1">
        <f>(orders[[#This Row],[Revenue]]-orders[[#This Row],[Cost]])</f>
        <v>19</v>
      </c>
      <c r="N690" s="8">
        <f>IFERROR(orders[[#This Row],[profit]]/orders[[#This Row],[Revenue]],0)</f>
        <v>0.54285714285714282</v>
      </c>
      <c r="O690">
        <f>IF(orders[[#This Row],[Delivery Date]]="","",(orders[[#This Row],[Delivery Date]]-orders[[#This Row],[Date]]))</f>
        <v>1</v>
      </c>
      <c r="P690" t="str">
        <f>IF(orders[[#This Row],[delivery days]]="","Not Delivered",IF(orders[[#This Row],[delivery days]]&lt;=2,"Fast",IF(orders[[#This Row],[delivery days]]&lt;=5,"Normal","Delayed")))</f>
        <v>Fast</v>
      </c>
    </row>
    <row r="691" spans="1:16" x14ac:dyDescent="0.25">
      <c r="A691" t="s">
        <v>827</v>
      </c>
      <c r="B691" s="5">
        <v>45911</v>
      </c>
      <c r="C691" t="s">
        <v>90</v>
      </c>
      <c r="D691" t="s">
        <v>51</v>
      </c>
      <c r="E691" t="s">
        <v>34</v>
      </c>
      <c r="F691">
        <v>2</v>
      </c>
      <c r="G691" s="1">
        <v>170</v>
      </c>
      <c r="H691" s="1">
        <v>82.32</v>
      </c>
      <c r="I691" s="5">
        <v>45914</v>
      </c>
      <c r="J691" t="s">
        <v>23</v>
      </c>
      <c r="K691" t="s">
        <v>17</v>
      </c>
      <c r="L691" t="s">
        <v>25</v>
      </c>
      <c r="M691" s="1">
        <f>(orders[[#This Row],[Revenue]]-orders[[#This Row],[Cost]])</f>
        <v>87.68</v>
      </c>
      <c r="N691" s="8">
        <f>IFERROR(orders[[#This Row],[profit]]/orders[[#This Row],[Revenue]],0)</f>
        <v>0.51576470588235301</v>
      </c>
      <c r="O691">
        <f>IF(orders[[#This Row],[Delivery Date]]="","",(orders[[#This Row],[Delivery Date]]-orders[[#This Row],[Date]]))</f>
        <v>3</v>
      </c>
      <c r="P691" t="str">
        <f>IF(orders[[#This Row],[delivery days]]="","Not Delivered",IF(orders[[#This Row],[delivery days]]&lt;=2,"Fast",IF(orders[[#This Row],[delivery days]]&lt;=5,"Normal","Delayed")))</f>
        <v>Normal</v>
      </c>
    </row>
    <row r="692" spans="1:16" x14ac:dyDescent="0.25">
      <c r="A692" t="s">
        <v>828</v>
      </c>
      <c r="B692" s="5">
        <v>45911</v>
      </c>
      <c r="C692" t="s">
        <v>200</v>
      </c>
      <c r="D692" t="s">
        <v>266</v>
      </c>
      <c r="E692" t="s">
        <v>22</v>
      </c>
      <c r="F692">
        <v>2</v>
      </c>
      <c r="G692" s="1">
        <v>37.08</v>
      </c>
      <c r="H692" s="1">
        <v>14.28</v>
      </c>
      <c r="I692" s="5">
        <v>45914</v>
      </c>
      <c r="J692" t="s">
        <v>46</v>
      </c>
      <c r="K692" t="s">
        <v>47</v>
      </c>
      <c r="L692" t="s">
        <v>25</v>
      </c>
      <c r="M692" s="1">
        <f>(orders[[#This Row],[Revenue]]-orders[[#This Row],[Cost]])</f>
        <v>22.799999999999997</v>
      </c>
      <c r="N692" s="8">
        <f>IFERROR(orders[[#This Row],[profit]]/orders[[#This Row],[Revenue]],0)</f>
        <v>0.61488673139158567</v>
      </c>
      <c r="O692">
        <f>IF(orders[[#This Row],[Delivery Date]]="","",(orders[[#This Row],[Delivery Date]]-orders[[#This Row],[Date]]))</f>
        <v>3</v>
      </c>
      <c r="P692" t="str">
        <f>IF(orders[[#This Row],[delivery days]]="","Not Delivered",IF(orders[[#This Row],[delivery days]]&lt;=2,"Fast",IF(orders[[#This Row],[delivery days]]&lt;=5,"Normal","Delayed")))</f>
        <v>Normal</v>
      </c>
    </row>
    <row r="693" spans="1:16" x14ac:dyDescent="0.25">
      <c r="A693" t="s">
        <v>829</v>
      </c>
      <c r="B693" s="5">
        <v>45913</v>
      </c>
      <c r="C693" t="s">
        <v>487</v>
      </c>
      <c r="D693" t="s">
        <v>270</v>
      </c>
      <c r="E693" t="s">
        <v>39</v>
      </c>
      <c r="F693">
        <v>4</v>
      </c>
      <c r="G693" s="1">
        <v>180</v>
      </c>
      <c r="H693" s="1">
        <v>89.76</v>
      </c>
      <c r="I693" s="5">
        <v>45917</v>
      </c>
      <c r="J693" t="s">
        <v>46</v>
      </c>
      <c r="K693" t="s">
        <v>24</v>
      </c>
      <c r="L693" t="s">
        <v>18</v>
      </c>
      <c r="M693" s="1">
        <f>(orders[[#This Row],[Revenue]]-orders[[#This Row],[Cost]])</f>
        <v>90.24</v>
      </c>
      <c r="N693" s="8">
        <f>IFERROR(orders[[#This Row],[profit]]/orders[[#This Row],[Revenue]],0)</f>
        <v>0.5013333333333333</v>
      </c>
      <c r="O693">
        <f>IF(orders[[#This Row],[Delivery Date]]="","",(orders[[#This Row],[Delivery Date]]-orders[[#This Row],[Date]]))</f>
        <v>4</v>
      </c>
      <c r="P693" t="str">
        <f>IF(orders[[#This Row],[delivery days]]="","Not Delivered",IF(orders[[#This Row],[delivery days]]&lt;=2,"Fast",IF(orders[[#This Row],[delivery days]]&lt;=5,"Normal","Delayed")))</f>
        <v>Normal</v>
      </c>
    </row>
    <row r="694" spans="1:16" x14ac:dyDescent="0.25">
      <c r="A694" t="s">
        <v>830</v>
      </c>
      <c r="B694" s="5">
        <v>45913</v>
      </c>
      <c r="C694" t="s">
        <v>174</v>
      </c>
      <c r="D694" t="s">
        <v>168</v>
      </c>
      <c r="E694" t="s">
        <v>29</v>
      </c>
      <c r="F694">
        <v>1</v>
      </c>
      <c r="G694" s="1">
        <v>22</v>
      </c>
      <c r="H694" s="1">
        <v>8</v>
      </c>
      <c r="I694" s="5">
        <v>45915</v>
      </c>
      <c r="J694" t="s">
        <v>16</v>
      </c>
      <c r="K694" t="s">
        <v>17</v>
      </c>
      <c r="L694" t="s">
        <v>18</v>
      </c>
      <c r="M694" s="1">
        <f>(orders[[#This Row],[Revenue]]-orders[[#This Row],[Cost]])</f>
        <v>14</v>
      </c>
      <c r="N694" s="8">
        <f>IFERROR(orders[[#This Row],[profit]]/orders[[#This Row],[Revenue]],0)</f>
        <v>0.63636363636363635</v>
      </c>
      <c r="O694">
        <f>IF(orders[[#This Row],[Delivery Date]]="","",(orders[[#This Row],[Delivery Date]]-orders[[#This Row],[Date]]))</f>
        <v>2</v>
      </c>
      <c r="P694" t="str">
        <f>IF(orders[[#This Row],[delivery days]]="","Not Delivered",IF(orders[[#This Row],[delivery days]]&lt;=2,"Fast",IF(orders[[#This Row],[delivery days]]&lt;=5,"Normal","Delayed")))</f>
        <v>Fast</v>
      </c>
    </row>
    <row r="695" spans="1:16" x14ac:dyDescent="0.25">
      <c r="A695" t="s">
        <v>831</v>
      </c>
      <c r="B695" s="5">
        <v>45915</v>
      </c>
      <c r="C695" t="s">
        <v>382</v>
      </c>
      <c r="D695" t="s">
        <v>266</v>
      </c>
      <c r="E695" t="s">
        <v>22</v>
      </c>
      <c r="F695">
        <v>3</v>
      </c>
      <c r="G695" s="1">
        <v>52.38</v>
      </c>
      <c r="H695" s="1">
        <v>21</v>
      </c>
      <c r="I695" s="5"/>
      <c r="J695" t="s">
        <v>52</v>
      </c>
      <c r="K695" t="s">
        <v>24</v>
      </c>
      <c r="L695" t="s">
        <v>42</v>
      </c>
      <c r="M695" s="1">
        <f>(orders[[#This Row],[Revenue]]-orders[[#This Row],[Cost]])</f>
        <v>31.380000000000003</v>
      </c>
      <c r="N695" s="8">
        <f>IFERROR(orders[[#This Row],[profit]]/orders[[#This Row],[Revenue]],0)</f>
        <v>0.59908361970217638</v>
      </c>
      <c r="O695" t="str">
        <f>IF(orders[[#This Row],[Delivery Date]]="","",(orders[[#This Row],[Delivery Date]]-orders[[#This Row],[Date]]))</f>
        <v/>
      </c>
      <c r="P695" t="str">
        <f>IF(orders[[#This Row],[delivery days]]="","Not Delivered",IF(orders[[#This Row],[delivery days]]&lt;=2,"Fast",IF(orders[[#This Row],[delivery days]]&lt;=5,"Normal","Delayed")))</f>
        <v>Not Delivered</v>
      </c>
    </row>
    <row r="696" spans="1:16" x14ac:dyDescent="0.25">
      <c r="A696" t="s">
        <v>832</v>
      </c>
      <c r="B696" s="5">
        <v>45915</v>
      </c>
      <c r="C696" t="s">
        <v>79</v>
      </c>
      <c r="D696" t="s">
        <v>76</v>
      </c>
      <c r="E696" t="s">
        <v>77</v>
      </c>
      <c r="F696">
        <v>3</v>
      </c>
      <c r="G696" s="1">
        <v>780</v>
      </c>
      <c r="H696" s="1">
        <v>495</v>
      </c>
      <c r="I696" s="5">
        <v>45917</v>
      </c>
      <c r="J696" t="s">
        <v>30</v>
      </c>
      <c r="K696" t="s">
        <v>35</v>
      </c>
      <c r="L696" t="s">
        <v>25</v>
      </c>
      <c r="M696" s="1">
        <f>(orders[[#This Row],[Revenue]]-orders[[#This Row],[Cost]])</f>
        <v>285</v>
      </c>
      <c r="N696" s="8">
        <f>IFERROR(orders[[#This Row],[profit]]/orders[[#This Row],[Revenue]],0)</f>
        <v>0.36538461538461536</v>
      </c>
      <c r="O696">
        <f>IF(orders[[#This Row],[Delivery Date]]="","",(orders[[#This Row],[Delivery Date]]-orders[[#This Row],[Date]]))</f>
        <v>2</v>
      </c>
      <c r="P696" t="str">
        <f>IF(orders[[#This Row],[delivery days]]="","Not Delivered",IF(orders[[#This Row],[delivery days]]&lt;=2,"Fast",IF(orders[[#This Row],[delivery days]]&lt;=5,"Normal","Delayed")))</f>
        <v>Fast</v>
      </c>
    </row>
    <row r="697" spans="1:16" x14ac:dyDescent="0.25">
      <c r="A697" t="s">
        <v>833</v>
      </c>
      <c r="B697" s="5">
        <v>45915</v>
      </c>
      <c r="C697" t="s">
        <v>64</v>
      </c>
      <c r="D697" t="s">
        <v>135</v>
      </c>
      <c r="E697" t="s">
        <v>62</v>
      </c>
      <c r="F697">
        <v>1</v>
      </c>
      <c r="G697" s="1">
        <v>105.8</v>
      </c>
      <c r="H697" s="1">
        <v>63</v>
      </c>
      <c r="I697" s="5">
        <v>45919</v>
      </c>
      <c r="J697" t="s">
        <v>101</v>
      </c>
      <c r="K697" t="s">
        <v>47</v>
      </c>
      <c r="L697" t="s">
        <v>25</v>
      </c>
      <c r="M697" s="1">
        <f>(orders[[#This Row],[Revenue]]-orders[[#This Row],[Cost]])</f>
        <v>42.8</v>
      </c>
      <c r="N697" s="8">
        <f>IFERROR(orders[[#This Row],[profit]]/orders[[#This Row],[Revenue]],0)</f>
        <v>0.4045368620037807</v>
      </c>
      <c r="O697">
        <f>IF(orders[[#This Row],[Delivery Date]]="","",(orders[[#This Row],[Delivery Date]]-orders[[#This Row],[Date]]))</f>
        <v>4</v>
      </c>
      <c r="P697" t="str">
        <f>IF(orders[[#This Row],[delivery days]]="","Not Delivered",IF(orders[[#This Row],[delivery days]]&lt;=2,"Fast",IF(orders[[#This Row],[delivery days]]&lt;=5,"Normal","Delayed")))</f>
        <v>Normal</v>
      </c>
    </row>
    <row r="698" spans="1:16" x14ac:dyDescent="0.25">
      <c r="A698" t="s">
        <v>834</v>
      </c>
      <c r="B698" s="5">
        <v>45915</v>
      </c>
      <c r="C698" t="s">
        <v>112</v>
      </c>
      <c r="D698" t="s">
        <v>235</v>
      </c>
      <c r="E698" t="s">
        <v>15</v>
      </c>
      <c r="F698">
        <v>2</v>
      </c>
      <c r="G698" s="1">
        <v>130</v>
      </c>
      <c r="H698" s="1">
        <v>62</v>
      </c>
      <c r="I698" s="5">
        <v>45919</v>
      </c>
      <c r="J698" t="s">
        <v>30</v>
      </c>
      <c r="K698" t="s">
        <v>17</v>
      </c>
      <c r="L698" t="s">
        <v>25</v>
      </c>
      <c r="M698" s="1">
        <f>(orders[[#This Row],[Revenue]]-orders[[#This Row],[Cost]])</f>
        <v>68</v>
      </c>
      <c r="N698" s="8">
        <f>IFERROR(orders[[#This Row],[profit]]/orders[[#This Row],[Revenue]],0)</f>
        <v>0.52307692307692311</v>
      </c>
      <c r="O698">
        <f>IF(orders[[#This Row],[Delivery Date]]="","",(orders[[#This Row],[Delivery Date]]-orders[[#This Row],[Date]]))</f>
        <v>4</v>
      </c>
      <c r="P698" t="str">
        <f>IF(orders[[#This Row],[delivery days]]="","Not Delivered",IF(orders[[#This Row],[delivery days]]&lt;=2,"Fast",IF(orders[[#This Row],[delivery days]]&lt;=5,"Normal","Delayed")))</f>
        <v>Normal</v>
      </c>
    </row>
    <row r="699" spans="1:16" x14ac:dyDescent="0.25">
      <c r="A699" t="s">
        <v>835</v>
      </c>
      <c r="B699" s="5">
        <v>45915</v>
      </c>
      <c r="C699" t="s">
        <v>37</v>
      </c>
      <c r="D699" t="s">
        <v>61</v>
      </c>
      <c r="E699" t="s">
        <v>62</v>
      </c>
      <c r="F699">
        <v>1</v>
      </c>
      <c r="G699" s="1">
        <v>32</v>
      </c>
      <c r="H699" s="1">
        <v>14</v>
      </c>
      <c r="I699" s="5">
        <v>45919</v>
      </c>
      <c r="J699" t="s">
        <v>23</v>
      </c>
      <c r="K699" t="s">
        <v>17</v>
      </c>
      <c r="L699" t="s">
        <v>25</v>
      </c>
      <c r="M699" s="1">
        <f>(orders[[#This Row],[Revenue]]-orders[[#This Row],[Cost]])</f>
        <v>18</v>
      </c>
      <c r="N699" s="8">
        <f>IFERROR(orders[[#This Row],[profit]]/orders[[#This Row],[Revenue]],0)</f>
        <v>0.5625</v>
      </c>
      <c r="O699">
        <f>IF(orders[[#This Row],[Delivery Date]]="","",(orders[[#This Row],[Delivery Date]]-orders[[#This Row],[Date]]))</f>
        <v>4</v>
      </c>
      <c r="P699" t="str">
        <f>IF(orders[[#This Row],[delivery days]]="","Not Delivered",IF(orders[[#This Row],[delivery days]]&lt;=2,"Fast",IF(orders[[#This Row],[delivery days]]&lt;=5,"Normal","Delayed")))</f>
        <v>Normal</v>
      </c>
    </row>
    <row r="700" spans="1:16" x14ac:dyDescent="0.25">
      <c r="A700" t="s">
        <v>836</v>
      </c>
      <c r="B700" s="5">
        <v>45916</v>
      </c>
      <c r="C700" t="s">
        <v>282</v>
      </c>
      <c r="D700" t="s">
        <v>55</v>
      </c>
      <c r="E700" t="s">
        <v>39</v>
      </c>
      <c r="F700">
        <v>1</v>
      </c>
      <c r="G700" s="1">
        <v>407.4</v>
      </c>
      <c r="H700" s="1">
        <v>275</v>
      </c>
      <c r="I700" s="5"/>
      <c r="J700" t="s">
        <v>23</v>
      </c>
      <c r="K700" t="s">
        <v>17</v>
      </c>
      <c r="L700" t="s">
        <v>42</v>
      </c>
      <c r="M700" s="1">
        <f>(orders[[#This Row],[Revenue]]-orders[[#This Row],[Cost]])</f>
        <v>132.39999999999998</v>
      </c>
      <c r="N700" s="8">
        <f>IFERROR(orders[[#This Row],[profit]]/orders[[#This Row],[Revenue]],0)</f>
        <v>0.32498772704958268</v>
      </c>
      <c r="O700" t="str">
        <f>IF(orders[[#This Row],[Delivery Date]]="","",(orders[[#This Row],[Delivery Date]]-orders[[#This Row],[Date]]))</f>
        <v/>
      </c>
      <c r="P700" t="str">
        <f>IF(orders[[#This Row],[delivery days]]="","Not Delivered",IF(orders[[#This Row],[delivery days]]&lt;=2,"Fast",IF(orders[[#This Row],[delivery days]]&lt;=5,"Normal","Delayed")))</f>
        <v>Not Delivered</v>
      </c>
    </row>
    <row r="701" spans="1:16" x14ac:dyDescent="0.25">
      <c r="A701" t="s">
        <v>837</v>
      </c>
      <c r="B701" s="5">
        <v>45917</v>
      </c>
      <c r="C701" t="s">
        <v>217</v>
      </c>
      <c r="D701" t="s">
        <v>28</v>
      </c>
      <c r="E701" t="s">
        <v>29</v>
      </c>
      <c r="F701">
        <v>4</v>
      </c>
      <c r="G701" s="1">
        <v>98.88</v>
      </c>
      <c r="H701" s="1">
        <v>36</v>
      </c>
      <c r="I701" s="5">
        <v>45921</v>
      </c>
      <c r="J701" t="s">
        <v>30</v>
      </c>
      <c r="K701" t="s">
        <v>17</v>
      </c>
      <c r="L701" t="s">
        <v>25</v>
      </c>
      <c r="M701" s="1">
        <f>(orders[[#This Row],[Revenue]]-orders[[#This Row],[Cost]])</f>
        <v>62.879999999999995</v>
      </c>
      <c r="N701" s="8">
        <f>IFERROR(orders[[#This Row],[profit]]/orders[[#This Row],[Revenue]],0)</f>
        <v>0.63592233009708732</v>
      </c>
      <c r="O701">
        <f>IF(orders[[#This Row],[Delivery Date]]="","",(orders[[#This Row],[Delivery Date]]-orders[[#This Row],[Date]]))</f>
        <v>4</v>
      </c>
      <c r="P701" t="str">
        <f>IF(orders[[#This Row],[delivery days]]="","Not Delivered",IF(orders[[#This Row],[delivery days]]&lt;=2,"Fast",IF(orders[[#This Row],[delivery days]]&lt;=5,"Normal","Delayed")))</f>
        <v>Normal</v>
      </c>
    </row>
    <row r="702" spans="1:16" x14ac:dyDescent="0.25">
      <c r="A702" t="s">
        <v>838</v>
      </c>
      <c r="B702" s="5">
        <v>45917</v>
      </c>
      <c r="C702" t="s">
        <v>184</v>
      </c>
      <c r="D702" t="s">
        <v>235</v>
      </c>
      <c r="E702" t="s">
        <v>15</v>
      </c>
      <c r="F702">
        <v>1</v>
      </c>
      <c r="G702" s="1">
        <v>65</v>
      </c>
      <c r="H702" s="1">
        <v>31</v>
      </c>
      <c r="I702" s="5">
        <v>45918</v>
      </c>
      <c r="J702" t="s">
        <v>30</v>
      </c>
      <c r="K702" t="s">
        <v>17</v>
      </c>
      <c r="L702" t="s">
        <v>25</v>
      </c>
      <c r="M702" s="1">
        <f>(orders[[#This Row],[Revenue]]-orders[[#This Row],[Cost]])</f>
        <v>34</v>
      </c>
      <c r="N702" s="8">
        <f>IFERROR(orders[[#This Row],[profit]]/orders[[#This Row],[Revenue]],0)</f>
        <v>0.52307692307692311</v>
      </c>
      <c r="O702">
        <f>IF(orders[[#This Row],[Delivery Date]]="","",(orders[[#This Row],[Delivery Date]]-orders[[#This Row],[Date]]))</f>
        <v>1</v>
      </c>
      <c r="P702" t="str">
        <f>IF(orders[[#This Row],[delivery days]]="","Not Delivered",IF(orders[[#This Row],[delivery days]]&lt;=2,"Fast",IF(orders[[#This Row],[delivery days]]&lt;=5,"Normal","Delayed")))</f>
        <v>Fast</v>
      </c>
    </row>
    <row r="703" spans="1:16" x14ac:dyDescent="0.25">
      <c r="A703" t="s">
        <v>839</v>
      </c>
      <c r="B703" s="5">
        <v>45917</v>
      </c>
      <c r="C703" t="s">
        <v>184</v>
      </c>
      <c r="D703" t="s">
        <v>38</v>
      </c>
      <c r="E703" t="s">
        <v>39</v>
      </c>
      <c r="F703">
        <v>1</v>
      </c>
      <c r="G703" s="1">
        <v>850</v>
      </c>
      <c r="H703" s="1">
        <v>610</v>
      </c>
      <c r="I703" s="5">
        <v>45918</v>
      </c>
      <c r="J703" t="s">
        <v>30</v>
      </c>
      <c r="K703" t="s">
        <v>35</v>
      </c>
      <c r="L703" t="s">
        <v>25</v>
      </c>
      <c r="M703" s="1">
        <f>(orders[[#This Row],[Revenue]]-orders[[#This Row],[Cost]])</f>
        <v>240</v>
      </c>
      <c r="N703" s="8">
        <f>IFERROR(orders[[#This Row],[profit]]/orders[[#This Row],[Revenue]],0)</f>
        <v>0.28235294117647058</v>
      </c>
      <c r="O703">
        <f>IF(orders[[#This Row],[Delivery Date]]="","",(orders[[#This Row],[Delivery Date]]-orders[[#This Row],[Date]]))</f>
        <v>1</v>
      </c>
      <c r="P703" t="str">
        <f>IF(orders[[#This Row],[delivery days]]="","Not Delivered",IF(orders[[#This Row],[delivery days]]&lt;=2,"Fast",IF(orders[[#This Row],[delivery days]]&lt;=5,"Normal","Delayed")))</f>
        <v>Fast</v>
      </c>
    </row>
    <row r="704" spans="1:16" x14ac:dyDescent="0.25">
      <c r="A704" t="s">
        <v>840</v>
      </c>
      <c r="B704" s="5">
        <v>45917</v>
      </c>
      <c r="C704" t="s">
        <v>75</v>
      </c>
      <c r="D704" t="s">
        <v>70</v>
      </c>
      <c r="E704" t="s">
        <v>62</v>
      </c>
      <c r="F704">
        <v>2</v>
      </c>
      <c r="G704" s="1">
        <v>291.60000000000002</v>
      </c>
      <c r="H704" s="1">
        <v>152.88</v>
      </c>
      <c r="I704" s="5">
        <v>45918</v>
      </c>
      <c r="J704" t="s">
        <v>30</v>
      </c>
      <c r="K704" t="s">
        <v>35</v>
      </c>
      <c r="L704" t="s">
        <v>25</v>
      </c>
      <c r="M704" s="1">
        <f>(orders[[#This Row],[Revenue]]-orders[[#This Row],[Cost]])</f>
        <v>138.72000000000003</v>
      </c>
      <c r="N704" s="8">
        <f>IFERROR(orders[[#This Row],[profit]]/orders[[#This Row],[Revenue]],0)</f>
        <v>0.47572016460905353</v>
      </c>
      <c r="O704">
        <f>IF(orders[[#This Row],[Delivery Date]]="","",(orders[[#This Row],[Delivery Date]]-orders[[#This Row],[Date]]))</f>
        <v>1</v>
      </c>
      <c r="P704" t="str">
        <f>IF(orders[[#This Row],[delivery days]]="","Not Delivered",IF(orders[[#This Row],[delivery days]]&lt;=2,"Fast",IF(orders[[#This Row],[delivery days]]&lt;=5,"Normal","Delayed")))</f>
        <v>Fast</v>
      </c>
    </row>
    <row r="705" spans="1:16" x14ac:dyDescent="0.25">
      <c r="A705" t="s">
        <v>841</v>
      </c>
      <c r="B705" s="5">
        <v>45917</v>
      </c>
      <c r="C705" t="s">
        <v>90</v>
      </c>
      <c r="D705" t="s">
        <v>215</v>
      </c>
      <c r="E705" t="s">
        <v>62</v>
      </c>
      <c r="F705">
        <v>1</v>
      </c>
      <c r="G705" s="1">
        <v>220</v>
      </c>
      <c r="H705" s="1">
        <v>142</v>
      </c>
      <c r="I705" s="5">
        <v>45919</v>
      </c>
      <c r="J705" t="s">
        <v>16</v>
      </c>
      <c r="K705" t="s">
        <v>35</v>
      </c>
      <c r="L705" t="s">
        <v>25</v>
      </c>
      <c r="M705" s="1">
        <f>(orders[[#This Row],[Revenue]]-orders[[#This Row],[Cost]])</f>
        <v>78</v>
      </c>
      <c r="N705" s="8">
        <f>IFERROR(orders[[#This Row],[profit]]/orders[[#This Row],[Revenue]],0)</f>
        <v>0.35454545454545455</v>
      </c>
      <c r="O705">
        <f>IF(orders[[#This Row],[Delivery Date]]="","",(orders[[#This Row],[Delivery Date]]-orders[[#This Row],[Date]]))</f>
        <v>2</v>
      </c>
      <c r="P705" t="str">
        <f>IF(orders[[#This Row],[delivery days]]="","Not Delivered",IF(orders[[#This Row],[delivery days]]&lt;=2,"Fast",IF(orders[[#This Row],[delivery days]]&lt;=5,"Normal","Delayed")))</f>
        <v>Fast</v>
      </c>
    </row>
    <row r="706" spans="1:16" x14ac:dyDescent="0.25">
      <c r="A706" t="s">
        <v>842</v>
      </c>
      <c r="B706" s="5">
        <v>45918</v>
      </c>
      <c r="C706" t="s">
        <v>282</v>
      </c>
      <c r="D706" t="s">
        <v>159</v>
      </c>
      <c r="E706" t="s">
        <v>39</v>
      </c>
      <c r="F706">
        <v>1</v>
      </c>
      <c r="G706" s="1">
        <v>110</v>
      </c>
      <c r="H706" s="1">
        <v>62</v>
      </c>
      <c r="I706" s="5">
        <v>45922</v>
      </c>
      <c r="J706" t="s">
        <v>101</v>
      </c>
      <c r="K706" t="s">
        <v>47</v>
      </c>
      <c r="L706" t="s">
        <v>25</v>
      </c>
      <c r="M706" s="1">
        <f>(orders[[#This Row],[Revenue]]-orders[[#This Row],[Cost]])</f>
        <v>48</v>
      </c>
      <c r="N706" s="8">
        <f>IFERROR(orders[[#This Row],[profit]]/orders[[#This Row],[Revenue]],0)</f>
        <v>0.43636363636363634</v>
      </c>
      <c r="O706">
        <f>IF(orders[[#This Row],[Delivery Date]]="","",(orders[[#This Row],[Delivery Date]]-orders[[#This Row],[Date]]))</f>
        <v>4</v>
      </c>
      <c r="P706" t="str">
        <f>IF(orders[[#This Row],[delivery days]]="","Not Delivered",IF(orders[[#This Row],[delivery days]]&lt;=2,"Fast",IF(orders[[#This Row],[delivery days]]&lt;=5,"Normal","Delayed")))</f>
        <v>Normal</v>
      </c>
    </row>
    <row r="707" spans="1:16" x14ac:dyDescent="0.25">
      <c r="A707" t="s">
        <v>843</v>
      </c>
      <c r="B707" s="5">
        <v>45918</v>
      </c>
      <c r="C707" t="s">
        <v>92</v>
      </c>
      <c r="D707" t="s">
        <v>208</v>
      </c>
      <c r="E707" t="s">
        <v>15</v>
      </c>
      <c r="F707">
        <v>2</v>
      </c>
      <c r="G707" s="1">
        <v>267.8</v>
      </c>
      <c r="H707" s="1">
        <v>148.96</v>
      </c>
      <c r="I707" s="5">
        <v>45921</v>
      </c>
      <c r="J707" t="s">
        <v>46</v>
      </c>
      <c r="K707" t="s">
        <v>24</v>
      </c>
      <c r="L707" t="s">
        <v>25</v>
      </c>
      <c r="M707" s="1">
        <f>(orders[[#This Row],[Revenue]]-orders[[#This Row],[Cost]])</f>
        <v>118.84</v>
      </c>
      <c r="N707" s="8">
        <f>IFERROR(orders[[#This Row],[profit]]/orders[[#This Row],[Revenue]],0)</f>
        <v>0.44376400298730395</v>
      </c>
      <c r="O707">
        <f>IF(orders[[#This Row],[Delivery Date]]="","",(orders[[#This Row],[Delivery Date]]-orders[[#This Row],[Date]]))</f>
        <v>3</v>
      </c>
      <c r="P707" t="str">
        <f>IF(orders[[#This Row],[delivery days]]="","Not Delivered",IF(orders[[#This Row],[delivery days]]&lt;=2,"Fast",IF(orders[[#This Row],[delivery days]]&lt;=5,"Normal","Delayed")))</f>
        <v>Normal</v>
      </c>
    </row>
    <row r="708" spans="1:16" x14ac:dyDescent="0.25">
      <c r="A708" t="s">
        <v>844</v>
      </c>
      <c r="B708" s="5">
        <v>45918</v>
      </c>
      <c r="C708" t="s">
        <v>13</v>
      </c>
      <c r="D708" t="s">
        <v>300</v>
      </c>
      <c r="E708" t="s">
        <v>77</v>
      </c>
      <c r="F708">
        <v>3</v>
      </c>
      <c r="G708" s="1">
        <v>1076.4000000000001</v>
      </c>
      <c r="H708" s="1">
        <v>735</v>
      </c>
      <c r="I708" s="5">
        <v>45923</v>
      </c>
      <c r="J708" t="s">
        <v>52</v>
      </c>
      <c r="K708" t="s">
        <v>24</v>
      </c>
      <c r="L708" t="s">
        <v>25</v>
      </c>
      <c r="M708" s="1">
        <f>(orders[[#This Row],[Revenue]]-orders[[#This Row],[Cost]])</f>
        <v>341.40000000000009</v>
      </c>
      <c r="N708" s="8">
        <f>IFERROR(orders[[#This Row],[profit]]/orders[[#This Row],[Revenue]],0)</f>
        <v>0.31716833890746943</v>
      </c>
      <c r="O708">
        <f>IF(orders[[#This Row],[Delivery Date]]="","",(orders[[#This Row],[Delivery Date]]-orders[[#This Row],[Date]]))</f>
        <v>5</v>
      </c>
      <c r="P708" t="str">
        <f>IF(orders[[#This Row],[delivery days]]="","Not Delivered",IF(orders[[#This Row],[delivery days]]&lt;=2,"Fast",IF(orders[[#This Row],[delivery days]]&lt;=5,"Normal","Delayed")))</f>
        <v>Normal</v>
      </c>
    </row>
    <row r="709" spans="1:16" x14ac:dyDescent="0.25">
      <c r="A709" t="s">
        <v>845</v>
      </c>
      <c r="B709" s="5">
        <v>45918</v>
      </c>
      <c r="C709" t="s">
        <v>155</v>
      </c>
      <c r="D709" t="s">
        <v>224</v>
      </c>
      <c r="E709" t="s">
        <v>77</v>
      </c>
      <c r="F709">
        <v>4</v>
      </c>
      <c r="G709" s="1">
        <v>500</v>
      </c>
      <c r="H709" s="1">
        <v>268</v>
      </c>
      <c r="I709" s="5">
        <v>45920</v>
      </c>
      <c r="J709" t="s">
        <v>30</v>
      </c>
      <c r="K709" t="s">
        <v>17</v>
      </c>
      <c r="L709" t="s">
        <v>25</v>
      </c>
      <c r="M709" s="1">
        <f>(orders[[#This Row],[Revenue]]-orders[[#This Row],[Cost]])</f>
        <v>232</v>
      </c>
      <c r="N709" s="8">
        <f>IFERROR(orders[[#This Row],[profit]]/orders[[#This Row],[Revenue]],0)</f>
        <v>0.46400000000000002</v>
      </c>
      <c r="O709">
        <f>IF(orders[[#This Row],[Delivery Date]]="","",(orders[[#This Row],[Delivery Date]]-orders[[#This Row],[Date]]))</f>
        <v>2</v>
      </c>
      <c r="P709" t="str">
        <f>IF(orders[[#This Row],[delivery days]]="","Not Delivered",IF(orders[[#This Row],[delivery days]]&lt;=2,"Fast",IF(orders[[#This Row],[delivery days]]&lt;=5,"Normal","Delayed")))</f>
        <v>Fast</v>
      </c>
    </row>
    <row r="710" spans="1:16" x14ac:dyDescent="0.25">
      <c r="A710" t="s">
        <v>846</v>
      </c>
      <c r="B710" s="5">
        <v>45919</v>
      </c>
      <c r="C710" t="s">
        <v>181</v>
      </c>
      <c r="D710" t="s">
        <v>270</v>
      </c>
      <c r="E710" t="s">
        <v>39</v>
      </c>
      <c r="F710">
        <v>3</v>
      </c>
      <c r="G710" s="1">
        <v>135</v>
      </c>
      <c r="H710" s="1">
        <v>64.680000000000007</v>
      </c>
      <c r="I710" s="5">
        <v>45925</v>
      </c>
      <c r="J710" t="s">
        <v>101</v>
      </c>
      <c r="K710" t="s">
        <v>35</v>
      </c>
      <c r="L710" t="s">
        <v>25</v>
      </c>
      <c r="M710" s="1">
        <f>(orders[[#This Row],[Revenue]]-orders[[#This Row],[Cost]])</f>
        <v>70.319999999999993</v>
      </c>
      <c r="N710" s="8">
        <f>IFERROR(orders[[#This Row],[profit]]/orders[[#This Row],[Revenue]],0)</f>
        <v>0.52088888888888885</v>
      </c>
      <c r="O710">
        <f>IF(orders[[#This Row],[Delivery Date]]="","",(orders[[#This Row],[Delivery Date]]-orders[[#This Row],[Date]]))</f>
        <v>6</v>
      </c>
      <c r="P710" t="str">
        <f>IF(orders[[#This Row],[delivery days]]="","Not Delivered",IF(orders[[#This Row],[delivery days]]&lt;=2,"Fast",IF(orders[[#This Row],[delivery days]]&lt;=5,"Normal","Delayed")))</f>
        <v>Delayed</v>
      </c>
    </row>
    <row r="711" spans="1:16" x14ac:dyDescent="0.25">
      <c r="A711" t="s">
        <v>847</v>
      </c>
      <c r="B711" s="5">
        <v>45920</v>
      </c>
      <c r="C711" t="s">
        <v>49</v>
      </c>
      <c r="D711" t="s">
        <v>177</v>
      </c>
      <c r="E711" t="s">
        <v>34</v>
      </c>
      <c r="F711">
        <v>2</v>
      </c>
      <c r="G711" s="1">
        <v>298.7</v>
      </c>
      <c r="H711" s="1">
        <v>156</v>
      </c>
      <c r="I711" s="5">
        <v>45925</v>
      </c>
      <c r="J711" t="s">
        <v>52</v>
      </c>
      <c r="K711" t="s">
        <v>47</v>
      </c>
      <c r="L711" t="s">
        <v>25</v>
      </c>
      <c r="M711" s="1">
        <f>(orders[[#This Row],[Revenue]]-orders[[#This Row],[Cost]])</f>
        <v>142.69999999999999</v>
      </c>
      <c r="N711" s="8">
        <f>IFERROR(orders[[#This Row],[profit]]/orders[[#This Row],[Revenue]],0)</f>
        <v>0.47773685972547703</v>
      </c>
      <c r="O711">
        <f>IF(orders[[#This Row],[Delivery Date]]="","",(orders[[#This Row],[Delivery Date]]-orders[[#This Row],[Date]]))</f>
        <v>5</v>
      </c>
      <c r="P711" t="str">
        <f>IF(orders[[#This Row],[delivery days]]="","Not Delivered",IF(orders[[#This Row],[delivery days]]&lt;=2,"Fast",IF(orders[[#This Row],[delivery days]]&lt;=5,"Normal","Delayed")))</f>
        <v>Normal</v>
      </c>
    </row>
    <row r="712" spans="1:16" x14ac:dyDescent="0.25">
      <c r="A712" t="s">
        <v>848</v>
      </c>
      <c r="B712" s="5">
        <v>45920</v>
      </c>
      <c r="C712" t="s">
        <v>181</v>
      </c>
      <c r="D712" t="s">
        <v>83</v>
      </c>
      <c r="E712" t="s">
        <v>15</v>
      </c>
      <c r="F712">
        <v>1</v>
      </c>
      <c r="G712" s="1">
        <v>75</v>
      </c>
      <c r="H712" s="1">
        <v>39</v>
      </c>
      <c r="I712" s="5">
        <v>45923</v>
      </c>
      <c r="J712" t="s">
        <v>16</v>
      </c>
      <c r="K712" t="s">
        <v>35</v>
      </c>
      <c r="L712" t="s">
        <v>25</v>
      </c>
      <c r="M712" s="1">
        <f>(orders[[#This Row],[Revenue]]-orders[[#This Row],[Cost]])</f>
        <v>36</v>
      </c>
      <c r="N712" s="8">
        <f>IFERROR(orders[[#This Row],[profit]]/orders[[#This Row],[Revenue]],0)</f>
        <v>0.48</v>
      </c>
      <c r="O712">
        <f>IF(orders[[#This Row],[Delivery Date]]="","",(orders[[#This Row],[Delivery Date]]-orders[[#This Row],[Date]]))</f>
        <v>3</v>
      </c>
      <c r="P712" t="str">
        <f>IF(orders[[#This Row],[delivery days]]="","Not Delivered",IF(orders[[#This Row],[delivery days]]&lt;=2,"Fast",IF(orders[[#This Row],[delivery days]]&lt;=5,"Normal","Delayed")))</f>
        <v>Normal</v>
      </c>
    </row>
    <row r="713" spans="1:16" x14ac:dyDescent="0.25">
      <c r="A713" t="s">
        <v>849</v>
      </c>
      <c r="B713" s="5">
        <v>45921</v>
      </c>
      <c r="C713" t="s">
        <v>94</v>
      </c>
      <c r="D713" t="s">
        <v>86</v>
      </c>
      <c r="E713" t="s">
        <v>29</v>
      </c>
      <c r="F713">
        <v>1</v>
      </c>
      <c r="G713" s="1">
        <v>28.13</v>
      </c>
      <c r="H713" s="1">
        <v>12.24</v>
      </c>
      <c r="I713" s="5">
        <v>45924</v>
      </c>
      <c r="J713" t="s">
        <v>16</v>
      </c>
      <c r="K713" t="s">
        <v>17</v>
      </c>
      <c r="L713" t="s">
        <v>25</v>
      </c>
      <c r="M713" s="1">
        <f>(orders[[#This Row],[Revenue]]-orders[[#This Row],[Cost]])</f>
        <v>15.889999999999999</v>
      </c>
      <c r="N713" s="8">
        <f>IFERROR(orders[[#This Row],[profit]]/orders[[#This Row],[Revenue]],0)</f>
        <v>0.56487735513686455</v>
      </c>
      <c r="O713">
        <f>IF(orders[[#This Row],[Delivery Date]]="","",(orders[[#This Row],[Delivery Date]]-orders[[#This Row],[Date]]))</f>
        <v>3</v>
      </c>
      <c r="P713" t="str">
        <f>IF(orders[[#This Row],[delivery days]]="","Not Delivered",IF(orders[[#This Row],[delivery days]]&lt;=2,"Fast",IF(orders[[#This Row],[delivery days]]&lt;=5,"Normal","Delayed")))</f>
        <v>Normal</v>
      </c>
    </row>
    <row r="714" spans="1:16" x14ac:dyDescent="0.25">
      <c r="A714" t="s">
        <v>850</v>
      </c>
      <c r="B714" s="5">
        <v>45921</v>
      </c>
      <c r="C714" t="s">
        <v>278</v>
      </c>
      <c r="D714" t="s">
        <v>80</v>
      </c>
      <c r="E714" t="s">
        <v>77</v>
      </c>
      <c r="F714">
        <v>1</v>
      </c>
      <c r="G714" s="1">
        <v>75</v>
      </c>
      <c r="H714" s="1">
        <v>38</v>
      </c>
      <c r="I714" s="5">
        <v>45925</v>
      </c>
      <c r="J714" t="s">
        <v>101</v>
      </c>
      <c r="K714" t="s">
        <v>47</v>
      </c>
      <c r="L714" t="s">
        <v>25</v>
      </c>
      <c r="M714" s="1">
        <f>(orders[[#This Row],[Revenue]]-orders[[#This Row],[Cost]])</f>
        <v>37</v>
      </c>
      <c r="N714" s="8">
        <f>IFERROR(orders[[#This Row],[profit]]/orders[[#This Row],[Revenue]],0)</f>
        <v>0.49333333333333335</v>
      </c>
      <c r="O714">
        <f>IF(orders[[#This Row],[Delivery Date]]="","",(orders[[#This Row],[Delivery Date]]-orders[[#This Row],[Date]]))</f>
        <v>4</v>
      </c>
      <c r="P714" t="str">
        <f>IF(orders[[#This Row],[delivery days]]="","Not Delivered",IF(orders[[#This Row],[delivery days]]&lt;=2,"Fast",IF(orders[[#This Row],[delivery days]]&lt;=5,"Normal","Delayed")))</f>
        <v>Normal</v>
      </c>
    </row>
    <row r="715" spans="1:16" x14ac:dyDescent="0.25">
      <c r="A715" t="s">
        <v>851</v>
      </c>
      <c r="B715" s="5">
        <v>45921</v>
      </c>
      <c r="C715" t="s">
        <v>184</v>
      </c>
      <c r="D715" t="s">
        <v>168</v>
      </c>
      <c r="E715" t="s">
        <v>29</v>
      </c>
      <c r="F715">
        <v>2</v>
      </c>
      <c r="G715" s="1">
        <v>40.479999999999997</v>
      </c>
      <c r="H715" s="1">
        <v>16</v>
      </c>
      <c r="I715" s="5">
        <v>45924</v>
      </c>
      <c r="J715" t="s">
        <v>30</v>
      </c>
      <c r="K715" t="s">
        <v>35</v>
      </c>
      <c r="L715" t="s">
        <v>25</v>
      </c>
      <c r="M715" s="1">
        <f>(orders[[#This Row],[Revenue]]-orders[[#This Row],[Cost]])</f>
        <v>24.479999999999997</v>
      </c>
      <c r="N715" s="8">
        <f>IFERROR(orders[[#This Row],[profit]]/orders[[#This Row],[Revenue]],0)</f>
        <v>0.60474308300395252</v>
      </c>
      <c r="O715">
        <f>IF(orders[[#This Row],[Delivery Date]]="","",(orders[[#This Row],[Delivery Date]]-orders[[#This Row],[Date]]))</f>
        <v>3</v>
      </c>
      <c r="P715" t="str">
        <f>IF(orders[[#This Row],[delivery days]]="","Not Delivered",IF(orders[[#This Row],[delivery days]]&lt;=2,"Fast",IF(orders[[#This Row],[delivery days]]&lt;=5,"Normal","Delayed")))</f>
        <v>Normal</v>
      </c>
    </row>
    <row r="716" spans="1:16" x14ac:dyDescent="0.25">
      <c r="A716" t="s">
        <v>852</v>
      </c>
      <c r="B716" s="5">
        <v>45921</v>
      </c>
      <c r="C716" t="s">
        <v>99</v>
      </c>
      <c r="D716" t="s">
        <v>119</v>
      </c>
      <c r="E716" t="s">
        <v>39</v>
      </c>
      <c r="F716">
        <v>3</v>
      </c>
      <c r="G716" s="1">
        <v>169.95</v>
      </c>
      <c r="H716" s="1">
        <v>84</v>
      </c>
      <c r="I716" s="5">
        <v>45925</v>
      </c>
      <c r="J716" t="s">
        <v>46</v>
      </c>
      <c r="K716" t="s">
        <v>47</v>
      </c>
      <c r="L716" t="s">
        <v>25</v>
      </c>
      <c r="M716" s="1">
        <f>(orders[[#This Row],[Revenue]]-orders[[#This Row],[Cost]])</f>
        <v>85.949999999999989</v>
      </c>
      <c r="N716" s="8">
        <f>IFERROR(orders[[#This Row],[profit]]/orders[[#This Row],[Revenue]],0)</f>
        <v>0.50573698146513679</v>
      </c>
      <c r="O716">
        <f>IF(orders[[#This Row],[Delivery Date]]="","",(orders[[#This Row],[Delivery Date]]-orders[[#This Row],[Date]]))</f>
        <v>4</v>
      </c>
      <c r="P716" t="str">
        <f>IF(orders[[#This Row],[delivery days]]="","Not Delivered",IF(orders[[#This Row],[delivery days]]&lt;=2,"Fast",IF(orders[[#This Row],[delivery days]]&lt;=5,"Normal","Delayed")))</f>
        <v>Normal</v>
      </c>
    </row>
    <row r="717" spans="1:16" x14ac:dyDescent="0.25">
      <c r="A717" t="s">
        <v>853</v>
      </c>
      <c r="B717" s="5">
        <v>45922</v>
      </c>
      <c r="C717" t="s">
        <v>174</v>
      </c>
      <c r="D717" t="s">
        <v>159</v>
      </c>
      <c r="E717" t="s">
        <v>39</v>
      </c>
      <c r="F717">
        <v>4</v>
      </c>
      <c r="G717" s="1">
        <v>426.8</v>
      </c>
      <c r="H717" s="1">
        <v>248</v>
      </c>
      <c r="I717" s="5">
        <v>45929</v>
      </c>
      <c r="J717" t="s">
        <v>52</v>
      </c>
      <c r="K717" t="s">
        <v>24</v>
      </c>
      <c r="L717" t="s">
        <v>25</v>
      </c>
      <c r="M717" s="1">
        <f>(orders[[#This Row],[Revenue]]-orders[[#This Row],[Cost]])</f>
        <v>178.8</v>
      </c>
      <c r="N717" s="8">
        <f>IFERROR(orders[[#This Row],[profit]]/orders[[#This Row],[Revenue]],0)</f>
        <v>0.41893158388003748</v>
      </c>
      <c r="O717">
        <f>IF(orders[[#This Row],[Delivery Date]]="","",(orders[[#This Row],[Delivery Date]]-orders[[#This Row],[Date]]))</f>
        <v>7</v>
      </c>
      <c r="P717" t="str">
        <f>IF(orders[[#This Row],[delivery days]]="","Not Delivered",IF(orders[[#This Row],[delivery days]]&lt;=2,"Fast",IF(orders[[#This Row],[delivery days]]&lt;=5,"Normal","Delayed")))</f>
        <v>Delayed</v>
      </c>
    </row>
    <row r="718" spans="1:16" x14ac:dyDescent="0.25">
      <c r="A718" t="s">
        <v>854</v>
      </c>
      <c r="B718" s="5">
        <v>45923</v>
      </c>
      <c r="C718" t="s">
        <v>142</v>
      </c>
      <c r="D718" t="s">
        <v>300</v>
      </c>
      <c r="E718" t="s">
        <v>77</v>
      </c>
      <c r="F718">
        <v>1</v>
      </c>
      <c r="G718" s="1">
        <v>378.3</v>
      </c>
      <c r="H718" s="1">
        <v>245</v>
      </c>
      <c r="I718" s="5">
        <v>45926</v>
      </c>
      <c r="J718" t="s">
        <v>46</v>
      </c>
      <c r="K718" t="s">
        <v>47</v>
      </c>
      <c r="L718" t="s">
        <v>25</v>
      </c>
      <c r="M718" s="1">
        <f>(orders[[#This Row],[Revenue]]-orders[[#This Row],[Cost]])</f>
        <v>133.30000000000001</v>
      </c>
      <c r="N718" s="8">
        <f>IFERROR(orders[[#This Row],[profit]]/orders[[#This Row],[Revenue]],0)</f>
        <v>0.35236584721120806</v>
      </c>
      <c r="O718">
        <f>IF(orders[[#This Row],[Delivery Date]]="","",(orders[[#This Row],[Delivery Date]]-orders[[#This Row],[Date]]))</f>
        <v>3</v>
      </c>
      <c r="P718" t="str">
        <f>IF(orders[[#This Row],[delivery days]]="","Not Delivered",IF(orders[[#This Row],[delivery days]]&lt;=2,"Fast",IF(orders[[#This Row],[delivery days]]&lt;=5,"Normal","Delayed")))</f>
        <v>Normal</v>
      </c>
    </row>
    <row r="719" spans="1:16" x14ac:dyDescent="0.25">
      <c r="A719" t="s">
        <v>855</v>
      </c>
      <c r="B719" s="5">
        <v>45923</v>
      </c>
      <c r="C719" t="s">
        <v>222</v>
      </c>
      <c r="D719" t="s">
        <v>163</v>
      </c>
      <c r="E719" t="s">
        <v>39</v>
      </c>
      <c r="F719">
        <v>1</v>
      </c>
      <c r="G719" s="1">
        <v>95</v>
      </c>
      <c r="H719" s="1">
        <v>52</v>
      </c>
      <c r="I719" s="5">
        <v>45924</v>
      </c>
      <c r="J719" t="s">
        <v>46</v>
      </c>
      <c r="K719" t="s">
        <v>47</v>
      </c>
      <c r="L719" t="s">
        <v>25</v>
      </c>
      <c r="M719" s="1">
        <f>(orders[[#This Row],[Revenue]]-orders[[#This Row],[Cost]])</f>
        <v>43</v>
      </c>
      <c r="N719" s="8">
        <f>IFERROR(orders[[#This Row],[profit]]/orders[[#This Row],[Revenue]],0)</f>
        <v>0.45263157894736844</v>
      </c>
      <c r="O719">
        <f>IF(orders[[#This Row],[Delivery Date]]="","",(orders[[#This Row],[Delivery Date]]-orders[[#This Row],[Date]]))</f>
        <v>1</v>
      </c>
      <c r="P719" t="str">
        <f>IF(orders[[#This Row],[delivery days]]="","Not Delivered",IF(orders[[#This Row],[delivery days]]&lt;=2,"Fast",IF(orders[[#This Row],[delivery days]]&lt;=5,"Normal","Delayed")))</f>
        <v>Fast</v>
      </c>
    </row>
    <row r="720" spans="1:16" x14ac:dyDescent="0.25">
      <c r="A720" t="s">
        <v>856</v>
      </c>
      <c r="B720" s="5">
        <v>45923</v>
      </c>
      <c r="C720" t="s">
        <v>69</v>
      </c>
      <c r="D720" t="s">
        <v>83</v>
      </c>
      <c r="E720" t="s">
        <v>15</v>
      </c>
      <c r="F720">
        <v>1</v>
      </c>
      <c r="G720" s="1">
        <v>75</v>
      </c>
      <c r="H720" s="1">
        <v>39</v>
      </c>
      <c r="I720" s="5">
        <v>45925</v>
      </c>
      <c r="J720" t="s">
        <v>23</v>
      </c>
      <c r="K720" t="s">
        <v>17</v>
      </c>
      <c r="L720" t="s">
        <v>25</v>
      </c>
      <c r="M720" s="1">
        <f>(orders[[#This Row],[Revenue]]-orders[[#This Row],[Cost]])</f>
        <v>36</v>
      </c>
      <c r="N720" s="8">
        <f>IFERROR(orders[[#This Row],[profit]]/orders[[#This Row],[Revenue]],0)</f>
        <v>0.48</v>
      </c>
      <c r="O720">
        <f>IF(orders[[#This Row],[Delivery Date]]="","",(orders[[#This Row],[Delivery Date]]-orders[[#This Row],[Date]]))</f>
        <v>2</v>
      </c>
      <c r="P720" t="str">
        <f>IF(orders[[#This Row],[delivery days]]="","Not Delivered",IF(orders[[#This Row],[delivery days]]&lt;=2,"Fast",IF(orders[[#This Row],[delivery days]]&lt;=5,"Normal","Delayed")))</f>
        <v>Fast</v>
      </c>
    </row>
    <row r="721" spans="1:16" x14ac:dyDescent="0.25">
      <c r="A721" t="s">
        <v>857</v>
      </c>
      <c r="B721" s="5">
        <v>45924</v>
      </c>
      <c r="C721" t="s">
        <v>259</v>
      </c>
      <c r="D721" t="s">
        <v>127</v>
      </c>
      <c r="E721" t="s">
        <v>29</v>
      </c>
      <c r="F721">
        <v>2</v>
      </c>
      <c r="G721" s="1">
        <v>34.92</v>
      </c>
      <c r="H721" s="1">
        <v>12.24</v>
      </c>
      <c r="I721" s="5">
        <v>45926</v>
      </c>
      <c r="J721" t="s">
        <v>30</v>
      </c>
      <c r="K721" t="s">
        <v>35</v>
      </c>
      <c r="L721" t="s">
        <v>25</v>
      </c>
      <c r="M721" s="1">
        <f>(orders[[#This Row],[Revenue]]-orders[[#This Row],[Cost]])</f>
        <v>22.68</v>
      </c>
      <c r="N721" s="8">
        <f>IFERROR(orders[[#This Row],[profit]]/orders[[#This Row],[Revenue]],0)</f>
        <v>0.64948453608247414</v>
      </c>
      <c r="O721">
        <f>IF(orders[[#This Row],[Delivery Date]]="","",(orders[[#This Row],[Delivery Date]]-orders[[#This Row],[Date]]))</f>
        <v>2</v>
      </c>
      <c r="P721" t="str">
        <f>IF(orders[[#This Row],[delivery days]]="","Not Delivered",IF(orders[[#This Row],[delivery days]]&lt;=2,"Fast",IF(orders[[#This Row],[delivery days]]&lt;=5,"Normal","Delayed")))</f>
        <v>Fast</v>
      </c>
    </row>
    <row r="722" spans="1:16" x14ac:dyDescent="0.25">
      <c r="A722" t="s">
        <v>858</v>
      </c>
      <c r="B722" s="5">
        <v>45924</v>
      </c>
      <c r="C722" t="s">
        <v>88</v>
      </c>
      <c r="D722" t="s">
        <v>127</v>
      </c>
      <c r="E722" t="s">
        <v>29</v>
      </c>
      <c r="F722">
        <v>3</v>
      </c>
      <c r="G722" s="1">
        <v>54</v>
      </c>
      <c r="H722" s="1">
        <v>17.64</v>
      </c>
      <c r="I722" s="5">
        <v>45928</v>
      </c>
      <c r="J722" t="s">
        <v>23</v>
      </c>
      <c r="K722" t="s">
        <v>24</v>
      </c>
      <c r="L722" t="s">
        <v>25</v>
      </c>
      <c r="M722" s="1">
        <f>(orders[[#This Row],[Revenue]]-orders[[#This Row],[Cost]])</f>
        <v>36.36</v>
      </c>
      <c r="N722" s="8">
        <f>IFERROR(orders[[#This Row],[profit]]/orders[[#This Row],[Revenue]],0)</f>
        <v>0.67333333333333334</v>
      </c>
      <c r="O722">
        <f>IF(orders[[#This Row],[Delivery Date]]="","",(orders[[#This Row],[Delivery Date]]-orders[[#This Row],[Date]]))</f>
        <v>4</v>
      </c>
      <c r="P722" t="str">
        <f>IF(orders[[#This Row],[delivery days]]="","Not Delivered",IF(orders[[#This Row],[delivery days]]&lt;=2,"Fast",IF(orders[[#This Row],[delivery days]]&lt;=5,"Normal","Delayed")))</f>
        <v>Normal</v>
      </c>
    </row>
    <row r="723" spans="1:16" x14ac:dyDescent="0.25">
      <c r="A723" t="s">
        <v>859</v>
      </c>
      <c r="B723" s="5">
        <v>45924</v>
      </c>
      <c r="C723" t="s">
        <v>222</v>
      </c>
      <c r="D723" t="s">
        <v>100</v>
      </c>
      <c r="E723" t="s">
        <v>34</v>
      </c>
      <c r="F723">
        <v>1</v>
      </c>
      <c r="G723" s="1">
        <v>50.44</v>
      </c>
      <c r="H723" s="1">
        <v>23.46</v>
      </c>
      <c r="I723" s="5">
        <v>45926</v>
      </c>
      <c r="J723" t="s">
        <v>30</v>
      </c>
      <c r="K723" t="s">
        <v>17</v>
      </c>
      <c r="L723" t="s">
        <v>25</v>
      </c>
      <c r="M723" s="1">
        <f>(orders[[#This Row],[Revenue]]-orders[[#This Row],[Cost]])</f>
        <v>26.979999999999997</v>
      </c>
      <c r="N723" s="8">
        <f>IFERROR(orders[[#This Row],[profit]]/orders[[#This Row],[Revenue]],0)</f>
        <v>0.53489294210943694</v>
      </c>
      <c r="O723">
        <f>IF(orders[[#This Row],[Delivery Date]]="","",(orders[[#This Row],[Delivery Date]]-orders[[#This Row],[Date]]))</f>
        <v>2</v>
      </c>
      <c r="P723" t="str">
        <f>IF(orders[[#This Row],[delivery days]]="","Not Delivered",IF(orders[[#This Row],[delivery days]]&lt;=2,"Fast",IF(orders[[#This Row],[delivery days]]&lt;=5,"Normal","Delayed")))</f>
        <v>Fast</v>
      </c>
    </row>
    <row r="724" spans="1:16" x14ac:dyDescent="0.25">
      <c r="A724" t="s">
        <v>860</v>
      </c>
      <c r="B724" s="5">
        <v>45925</v>
      </c>
      <c r="C724" t="s">
        <v>121</v>
      </c>
      <c r="D724" t="s">
        <v>45</v>
      </c>
      <c r="E724" t="s">
        <v>34</v>
      </c>
      <c r="F724">
        <v>2</v>
      </c>
      <c r="G724" s="1">
        <v>148.32</v>
      </c>
      <c r="H724" s="1">
        <v>60.76</v>
      </c>
      <c r="I724" s="5">
        <v>45927</v>
      </c>
      <c r="J724" t="s">
        <v>30</v>
      </c>
      <c r="K724" t="s">
        <v>17</v>
      </c>
      <c r="L724" t="s">
        <v>18</v>
      </c>
      <c r="M724" s="1">
        <f>(orders[[#This Row],[Revenue]]-orders[[#This Row],[Cost]])</f>
        <v>87.56</v>
      </c>
      <c r="N724" s="8">
        <f>IFERROR(orders[[#This Row],[profit]]/orders[[#This Row],[Revenue]],0)</f>
        <v>0.59034519956850062</v>
      </c>
      <c r="O724">
        <f>IF(orders[[#This Row],[Delivery Date]]="","",(orders[[#This Row],[Delivery Date]]-orders[[#This Row],[Date]]))</f>
        <v>2</v>
      </c>
      <c r="P724" t="str">
        <f>IF(orders[[#This Row],[delivery days]]="","Not Delivered",IF(orders[[#This Row],[delivery days]]&lt;=2,"Fast",IF(orders[[#This Row],[delivery days]]&lt;=5,"Normal","Delayed")))</f>
        <v>Fast</v>
      </c>
    </row>
    <row r="725" spans="1:16" x14ac:dyDescent="0.25">
      <c r="A725" t="s">
        <v>861</v>
      </c>
      <c r="B725" s="5">
        <v>45925</v>
      </c>
      <c r="C725" t="s">
        <v>243</v>
      </c>
      <c r="D725" t="s">
        <v>300</v>
      </c>
      <c r="E725" t="s">
        <v>77</v>
      </c>
      <c r="F725">
        <v>3</v>
      </c>
      <c r="G725" s="1">
        <v>1134.9000000000001</v>
      </c>
      <c r="H725" s="1">
        <v>749.7</v>
      </c>
      <c r="I725" s="5"/>
      <c r="J725" t="s">
        <v>30</v>
      </c>
      <c r="K725" t="s">
        <v>35</v>
      </c>
      <c r="L725" t="s">
        <v>42</v>
      </c>
      <c r="M725" s="1">
        <f>(orders[[#This Row],[Revenue]]-orders[[#This Row],[Cost]])</f>
        <v>385.20000000000005</v>
      </c>
      <c r="N725" s="8">
        <f>IFERROR(orders[[#This Row],[profit]]/orders[[#This Row],[Revenue]],0)</f>
        <v>0.33941316415543221</v>
      </c>
      <c r="O725" t="str">
        <f>IF(orders[[#This Row],[Delivery Date]]="","",(orders[[#This Row],[Delivery Date]]-orders[[#This Row],[Date]]))</f>
        <v/>
      </c>
      <c r="P725" t="str">
        <f>IF(orders[[#This Row],[delivery days]]="","Not Delivered",IF(orders[[#This Row],[delivery days]]&lt;=2,"Fast",IF(orders[[#This Row],[delivery days]]&lt;=5,"Normal","Delayed")))</f>
        <v>Not Delivered</v>
      </c>
    </row>
    <row r="726" spans="1:16" x14ac:dyDescent="0.25">
      <c r="A726" t="s">
        <v>862</v>
      </c>
      <c r="B726" s="5">
        <v>45925</v>
      </c>
      <c r="C726" t="s">
        <v>259</v>
      </c>
      <c r="D726" t="s">
        <v>28</v>
      </c>
      <c r="E726" t="s">
        <v>29</v>
      </c>
      <c r="F726">
        <v>2</v>
      </c>
      <c r="G726" s="1">
        <v>48</v>
      </c>
      <c r="H726" s="1">
        <v>18.36</v>
      </c>
      <c r="I726" s="5">
        <v>45929</v>
      </c>
      <c r="J726" t="s">
        <v>16</v>
      </c>
      <c r="K726" t="s">
        <v>17</v>
      </c>
      <c r="L726" t="s">
        <v>25</v>
      </c>
      <c r="M726" s="1">
        <f>(orders[[#This Row],[Revenue]]-orders[[#This Row],[Cost]])</f>
        <v>29.64</v>
      </c>
      <c r="N726" s="8">
        <f>IFERROR(orders[[#This Row],[profit]]/orders[[#This Row],[Revenue]],0)</f>
        <v>0.61750000000000005</v>
      </c>
      <c r="O726">
        <f>IF(orders[[#This Row],[Delivery Date]]="","",(orders[[#This Row],[Delivery Date]]-orders[[#This Row],[Date]]))</f>
        <v>4</v>
      </c>
      <c r="P726" t="str">
        <f>IF(orders[[#This Row],[delivery days]]="","Not Delivered",IF(orders[[#This Row],[delivery days]]&lt;=2,"Fast",IF(orders[[#This Row],[delivery days]]&lt;=5,"Normal","Delayed")))</f>
        <v>Normal</v>
      </c>
    </row>
    <row r="727" spans="1:16" x14ac:dyDescent="0.25">
      <c r="A727" t="s">
        <v>863</v>
      </c>
      <c r="B727" s="5">
        <v>45925</v>
      </c>
      <c r="C727" t="s">
        <v>282</v>
      </c>
      <c r="D727" t="s">
        <v>153</v>
      </c>
      <c r="E727" t="s">
        <v>34</v>
      </c>
      <c r="F727">
        <v>2</v>
      </c>
      <c r="G727" s="1">
        <v>125.12</v>
      </c>
      <c r="H727" s="1">
        <v>64</v>
      </c>
      <c r="I727" s="5"/>
      <c r="J727" t="s">
        <v>52</v>
      </c>
      <c r="K727" t="s">
        <v>47</v>
      </c>
      <c r="L727" t="s">
        <v>103</v>
      </c>
      <c r="M727" s="1">
        <f>(orders[[#This Row],[Revenue]]-orders[[#This Row],[Cost]])</f>
        <v>61.120000000000005</v>
      </c>
      <c r="N727" s="8">
        <f>IFERROR(orders[[#This Row],[profit]]/orders[[#This Row],[Revenue]],0)</f>
        <v>0.48849104859335041</v>
      </c>
      <c r="O727" t="str">
        <f>IF(orders[[#This Row],[Delivery Date]]="","",(orders[[#This Row],[Delivery Date]]-orders[[#This Row],[Date]]))</f>
        <v/>
      </c>
      <c r="P727" t="str">
        <f>IF(orders[[#This Row],[delivery days]]="","Not Delivered",IF(orders[[#This Row],[delivery days]]&lt;=2,"Fast",IF(orders[[#This Row],[delivery days]]&lt;=5,"Normal","Delayed")))</f>
        <v>Not Delivered</v>
      </c>
    </row>
    <row r="728" spans="1:16" x14ac:dyDescent="0.25">
      <c r="A728" t="s">
        <v>864</v>
      </c>
      <c r="B728" s="5">
        <v>45925</v>
      </c>
      <c r="C728" t="s">
        <v>210</v>
      </c>
      <c r="D728" t="s">
        <v>97</v>
      </c>
      <c r="E728" t="s">
        <v>39</v>
      </c>
      <c r="F728">
        <v>3</v>
      </c>
      <c r="G728" s="1">
        <v>1170</v>
      </c>
      <c r="H728" s="1">
        <v>780</v>
      </c>
      <c r="I728" s="5">
        <v>45926</v>
      </c>
      <c r="J728" t="s">
        <v>30</v>
      </c>
      <c r="K728" t="s">
        <v>35</v>
      </c>
      <c r="L728" t="s">
        <v>25</v>
      </c>
      <c r="M728" s="1">
        <f>(orders[[#This Row],[Revenue]]-orders[[#This Row],[Cost]])</f>
        <v>390</v>
      </c>
      <c r="N728" s="8">
        <f>IFERROR(orders[[#This Row],[profit]]/orders[[#This Row],[Revenue]],0)</f>
        <v>0.33333333333333331</v>
      </c>
      <c r="O728">
        <f>IF(orders[[#This Row],[Delivery Date]]="","",(orders[[#This Row],[Delivery Date]]-orders[[#This Row],[Date]]))</f>
        <v>1</v>
      </c>
      <c r="P728" t="str">
        <f>IF(orders[[#This Row],[delivery days]]="","Not Delivered",IF(orders[[#This Row],[delivery days]]&lt;=2,"Fast",IF(orders[[#This Row],[delivery days]]&lt;=5,"Normal","Delayed")))</f>
        <v>Fast</v>
      </c>
    </row>
    <row r="729" spans="1:16" x14ac:dyDescent="0.25">
      <c r="A729" t="s">
        <v>865</v>
      </c>
      <c r="B729" s="5">
        <v>45926</v>
      </c>
      <c r="C729" t="s">
        <v>176</v>
      </c>
      <c r="D729" t="s">
        <v>146</v>
      </c>
      <c r="E729" t="s">
        <v>22</v>
      </c>
      <c r="F729">
        <v>1</v>
      </c>
      <c r="G729" s="1">
        <v>88</v>
      </c>
      <c r="H729" s="1">
        <v>44.1</v>
      </c>
      <c r="I729" s="5"/>
      <c r="J729" t="s">
        <v>46</v>
      </c>
      <c r="K729" t="s">
        <v>47</v>
      </c>
      <c r="L729" t="s">
        <v>42</v>
      </c>
      <c r="M729" s="1">
        <f>(orders[[#This Row],[Revenue]]-orders[[#This Row],[Cost]])</f>
        <v>43.9</v>
      </c>
      <c r="N729" s="8">
        <f>IFERROR(orders[[#This Row],[profit]]/orders[[#This Row],[Revenue]],0)</f>
        <v>0.49886363636363634</v>
      </c>
      <c r="O729" t="str">
        <f>IF(orders[[#This Row],[Delivery Date]]="","",(orders[[#This Row],[Delivery Date]]-orders[[#This Row],[Date]]))</f>
        <v/>
      </c>
      <c r="P729" t="str">
        <f>IF(orders[[#This Row],[delivery days]]="","Not Delivered",IF(orders[[#This Row],[delivery days]]&lt;=2,"Fast",IF(orders[[#This Row],[delivery days]]&lt;=5,"Normal","Delayed")))</f>
        <v>Not Delivered</v>
      </c>
    </row>
    <row r="730" spans="1:16" x14ac:dyDescent="0.25">
      <c r="A730" t="s">
        <v>866</v>
      </c>
      <c r="B730" s="5">
        <v>45927</v>
      </c>
      <c r="C730" t="s">
        <v>79</v>
      </c>
      <c r="D730" t="s">
        <v>86</v>
      </c>
      <c r="E730" t="s">
        <v>29</v>
      </c>
      <c r="F730">
        <v>1</v>
      </c>
      <c r="G730" s="1">
        <v>29</v>
      </c>
      <c r="H730" s="1">
        <v>12</v>
      </c>
      <c r="I730" s="5">
        <v>45931</v>
      </c>
      <c r="J730" t="s">
        <v>46</v>
      </c>
      <c r="K730" t="s">
        <v>47</v>
      </c>
      <c r="L730" t="s">
        <v>25</v>
      </c>
      <c r="M730" s="1">
        <f>(orders[[#This Row],[Revenue]]-orders[[#This Row],[Cost]])</f>
        <v>17</v>
      </c>
      <c r="N730" s="8">
        <f>IFERROR(orders[[#This Row],[profit]]/orders[[#This Row],[Revenue]],0)</f>
        <v>0.58620689655172409</v>
      </c>
      <c r="O730">
        <f>IF(orders[[#This Row],[Delivery Date]]="","",(orders[[#This Row],[Delivery Date]]-orders[[#This Row],[Date]]))</f>
        <v>4</v>
      </c>
      <c r="P730" t="str">
        <f>IF(orders[[#This Row],[delivery days]]="","Not Delivered",IF(orders[[#This Row],[delivery days]]&lt;=2,"Fast",IF(orders[[#This Row],[delivery days]]&lt;=5,"Normal","Delayed")))</f>
        <v>Normal</v>
      </c>
    </row>
    <row r="731" spans="1:16" x14ac:dyDescent="0.25">
      <c r="A731" t="s">
        <v>867</v>
      </c>
      <c r="B731" s="5">
        <v>45927</v>
      </c>
      <c r="C731" t="s">
        <v>316</v>
      </c>
      <c r="D731" t="s">
        <v>58</v>
      </c>
      <c r="E731" t="s">
        <v>39</v>
      </c>
      <c r="F731">
        <v>1</v>
      </c>
      <c r="G731" s="1">
        <v>1287.5</v>
      </c>
      <c r="H731" s="1">
        <v>900</v>
      </c>
      <c r="I731" s="5">
        <v>45928</v>
      </c>
      <c r="J731" t="s">
        <v>46</v>
      </c>
      <c r="K731" t="s">
        <v>47</v>
      </c>
      <c r="L731" t="s">
        <v>25</v>
      </c>
      <c r="M731" s="1">
        <f>(orders[[#This Row],[Revenue]]-orders[[#This Row],[Cost]])</f>
        <v>387.5</v>
      </c>
      <c r="N731" s="8">
        <f>IFERROR(orders[[#This Row],[profit]]/orders[[#This Row],[Revenue]],0)</f>
        <v>0.30097087378640774</v>
      </c>
      <c r="O731">
        <f>IF(orders[[#This Row],[Delivery Date]]="","",(orders[[#This Row],[Delivery Date]]-orders[[#This Row],[Date]]))</f>
        <v>1</v>
      </c>
      <c r="P731" t="str">
        <f>IF(orders[[#This Row],[delivery days]]="","Not Delivered",IF(orders[[#This Row],[delivery days]]&lt;=2,"Fast",IF(orders[[#This Row],[delivery days]]&lt;=5,"Normal","Delayed")))</f>
        <v>Fast</v>
      </c>
    </row>
    <row r="732" spans="1:16" x14ac:dyDescent="0.25">
      <c r="A732" t="s">
        <v>868</v>
      </c>
      <c r="B732" s="5">
        <v>45927</v>
      </c>
      <c r="C732" t="s">
        <v>217</v>
      </c>
      <c r="D732" t="s">
        <v>97</v>
      </c>
      <c r="E732" t="s">
        <v>39</v>
      </c>
      <c r="F732">
        <v>2</v>
      </c>
      <c r="G732" s="1">
        <v>756.6</v>
      </c>
      <c r="H732" s="1">
        <v>520</v>
      </c>
      <c r="I732" s="5">
        <v>45928</v>
      </c>
      <c r="J732" t="s">
        <v>46</v>
      </c>
      <c r="K732" t="s">
        <v>47</v>
      </c>
      <c r="L732" t="s">
        <v>25</v>
      </c>
      <c r="M732" s="1">
        <f>(orders[[#This Row],[Revenue]]-orders[[#This Row],[Cost]])</f>
        <v>236.60000000000002</v>
      </c>
      <c r="N732" s="8">
        <f>IFERROR(orders[[#This Row],[profit]]/orders[[#This Row],[Revenue]],0)</f>
        <v>0.3127147766323024</v>
      </c>
      <c r="O732">
        <f>IF(orders[[#This Row],[Delivery Date]]="","",(orders[[#This Row],[Delivery Date]]-orders[[#This Row],[Date]]))</f>
        <v>1</v>
      </c>
      <c r="P732" t="str">
        <f>IF(orders[[#This Row],[delivery days]]="","Not Delivered",IF(orders[[#This Row],[delivery days]]&lt;=2,"Fast",IF(orders[[#This Row],[delivery days]]&lt;=5,"Normal","Delayed")))</f>
        <v>Fast</v>
      </c>
    </row>
    <row r="733" spans="1:16" x14ac:dyDescent="0.25">
      <c r="A733" t="s">
        <v>869</v>
      </c>
      <c r="B733" s="5">
        <v>45927</v>
      </c>
      <c r="C733" t="s">
        <v>191</v>
      </c>
      <c r="D733" t="s">
        <v>83</v>
      </c>
      <c r="E733" t="s">
        <v>15</v>
      </c>
      <c r="F733">
        <v>4</v>
      </c>
      <c r="G733" s="1">
        <v>300</v>
      </c>
      <c r="H733" s="1">
        <v>159.12</v>
      </c>
      <c r="I733" s="5">
        <v>45928</v>
      </c>
      <c r="J733" t="s">
        <v>16</v>
      </c>
      <c r="K733" t="s">
        <v>35</v>
      </c>
      <c r="L733" t="s">
        <v>25</v>
      </c>
      <c r="M733" s="1">
        <f>(orders[[#This Row],[Revenue]]-orders[[#This Row],[Cost]])</f>
        <v>140.88</v>
      </c>
      <c r="N733" s="8">
        <f>IFERROR(orders[[#This Row],[profit]]/orders[[#This Row],[Revenue]],0)</f>
        <v>0.46959999999999996</v>
      </c>
      <c r="O733">
        <f>IF(orders[[#This Row],[Delivery Date]]="","",(orders[[#This Row],[Delivery Date]]-orders[[#This Row],[Date]]))</f>
        <v>1</v>
      </c>
      <c r="P733" t="str">
        <f>IF(orders[[#This Row],[delivery days]]="","Not Delivered",IF(orders[[#This Row],[delivery days]]&lt;=2,"Fast",IF(orders[[#This Row],[delivery days]]&lt;=5,"Normal","Delayed")))</f>
        <v>Fast</v>
      </c>
    </row>
    <row r="734" spans="1:16" x14ac:dyDescent="0.25">
      <c r="A734" t="s">
        <v>870</v>
      </c>
      <c r="B734" s="5">
        <v>45928</v>
      </c>
      <c r="C734" t="s">
        <v>382</v>
      </c>
      <c r="D734" t="s">
        <v>61</v>
      </c>
      <c r="E734" t="s">
        <v>62</v>
      </c>
      <c r="F734">
        <v>5</v>
      </c>
      <c r="G734" s="1">
        <v>160</v>
      </c>
      <c r="H734" s="1">
        <v>70</v>
      </c>
      <c r="I734" s="5">
        <v>45930</v>
      </c>
      <c r="J734" t="s">
        <v>30</v>
      </c>
      <c r="K734" t="s">
        <v>17</v>
      </c>
      <c r="L734" t="s">
        <v>25</v>
      </c>
      <c r="M734" s="1">
        <f>(orders[[#This Row],[Revenue]]-orders[[#This Row],[Cost]])</f>
        <v>90</v>
      </c>
      <c r="N734" s="8">
        <f>IFERROR(orders[[#This Row],[profit]]/orders[[#This Row],[Revenue]],0)</f>
        <v>0.5625</v>
      </c>
      <c r="O734">
        <f>IF(orders[[#This Row],[Delivery Date]]="","",(orders[[#This Row],[Delivery Date]]-orders[[#This Row],[Date]]))</f>
        <v>2</v>
      </c>
      <c r="P734" t="str">
        <f>IF(orders[[#This Row],[delivery days]]="","Not Delivered",IF(orders[[#This Row],[delivery days]]&lt;=2,"Fast",IF(orders[[#This Row],[delivery days]]&lt;=5,"Normal","Delayed")))</f>
        <v>Fast</v>
      </c>
    </row>
    <row r="735" spans="1:16" x14ac:dyDescent="0.25">
      <c r="A735" t="s">
        <v>871</v>
      </c>
      <c r="B735" s="5">
        <v>45928</v>
      </c>
      <c r="C735" t="s">
        <v>282</v>
      </c>
      <c r="D735" t="s">
        <v>86</v>
      </c>
      <c r="E735" t="s">
        <v>29</v>
      </c>
      <c r="F735">
        <v>2</v>
      </c>
      <c r="G735" s="1">
        <v>58</v>
      </c>
      <c r="H735" s="1">
        <v>24</v>
      </c>
      <c r="I735" s="5">
        <v>45931</v>
      </c>
      <c r="J735" t="s">
        <v>16</v>
      </c>
      <c r="K735" t="s">
        <v>35</v>
      </c>
      <c r="L735" t="s">
        <v>25</v>
      </c>
      <c r="M735" s="1">
        <f>(orders[[#This Row],[Revenue]]-orders[[#This Row],[Cost]])</f>
        <v>34</v>
      </c>
      <c r="N735" s="8">
        <f>IFERROR(orders[[#This Row],[profit]]/orders[[#This Row],[Revenue]],0)</f>
        <v>0.58620689655172409</v>
      </c>
      <c r="O735">
        <f>IF(orders[[#This Row],[Delivery Date]]="","",(orders[[#This Row],[Delivery Date]]-orders[[#This Row],[Date]]))</f>
        <v>3</v>
      </c>
      <c r="P735" t="str">
        <f>IF(orders[[#This Row],[delivery days]]="","Not Delivered",IF(orders[[#This Row],[delivery days]]&lt;=2,"Fast",IF(orders[[#This Row],[delivery days]]&lt;=5,"Normal","Delayed")))</f>
        <v>Normal</v>
      </c>
    </row>
    <row r="736" spans="1:16" x14ac:dyDescent="0.25">
      <c r="A736" t="s">
        <v>872</v>
      </c>
      <c r="B736" s="5">
        <v>45928</v>
      </c>
      <c r="C736" t="s">
        <v>44</v>
      </c>
      <c r="D736" t="s">
        <v>58</v>
      </c>
      <c r="E736" t="s">
        <v>39</v>
      </c>
      <c r="F736">
        <v>3</v>
      </c>
      <c r="G736" s="1">
        <v>3750</v>
      </c>
      <c r="H736" s="1">
        <v>2700</v>
      </c>
      <c r="I736" s="5">
        <v>45932</v>
      </c>
      <c r="J736" t="s">
        <v>16</v>
      </c>
      <c r="K736" t="s">
        <v>35</v>
      </c>
      <c r="L736" t="s">
        <v>25</v>
      </c>
      <c r="M736" s="1">
        <f>(orders[[#This Row],[Revenue]]-orders[[#This Row],[Cost]])</f>
        <v>1050</v>
      </c>
      <c r="N736" s="8">
        <f>IFERROR(orders[[#This Row],[profit]]/orders[[#This Row],[Revenue]],0)</f>
        <v>0.28000000000000003</v>
      </c>
      <c r="O736">
        <f>IF(orders[[#This Row],[Delivery Date]]="","",(orders[[#This Row],[Delivery Date]]-orders[[#This Row],[Date]]))</f>
        <v>4</v>
      </c>
      <c r="P736" t="str">
        <f>IF(orders[[#This Row],[delivery days]]="","Not Delivered",IF(orders[[#This Row],[delivery days]]&lt;=2,"Fast",IF(orders[[#This Row],[delivery days]]&lt;=5,"Normal","Delayed")))</f>
        <v>Normal</v>
      </c>
    </row>
    <row r="737" spans="1:16" x14ac:dyDescent="0.25">
      <c r="A737" t="s">
        <v>873</v>
      </c>
      <c r="B737" s="5">
        <v>45928</v>
      </c>
      <c r="C737" t="s">
        <v>41</v>
      </c>
      <c r="D737" t="s">
        <v>14</v>
      </c>
      <c r="E737" t="s">
        <v>15</v>
      </c>
      <c r="F737">
        <v>1</v>
      </c>
      <c r="G737" s="1">
        <v>27</v>
      </c>
      <c r="H737" s="1">
        <v>9</v>
      </c>
      <c r="I737" s="5">
        <v>45929</v>
      </c>
      <c r="J737" t="s">
        <v>30</v>
      </c>
      <c r="K737" t="s">
        <v>17</v>
      </c>
      <c r="L737" t="s">
        <v>25</v>
      </c>
      <c r="M737" s="1">
        <f>(orders[[#This Row],[Revenue]]-orders[[#This Row],[Cost]])</f>
        <v>18</v>
      </c>
      <c r="N737" s="8">
        <f>IFERROR(orders[[#This Row],[profit]]/orders[[#This Row],[Revenue]],0)</f>
        <v>0.66666666666666663</v>
      </c>
      <c r="O737">
        <f>IF(orders[[#This Row],[Delivery Date]]="","",(orders[[#This Row],[Delivery Date]]-orders[[#This Row],[Date]]))</f>
        <v>1</v>
      </c>
      <c r="P737" t="str">
        <f>IF(orders[[#This Row],[delivery days]]="","Not Delivered",IF(orders[[#This Row],[delivery days]]&lt;=2,"Fast",IF(orders[[#This Row],[delivery days]]&lt;=5,"Normal","Delayed")))</f>
        <v>Fast</v>
      </c>
    </row>
    <row r="738" spans="1:16" x14ac:dyDescent="0.25">
      <c r="A738" t="s">
        <v>874</v>
      </c>
      <c r="B738" s="5">
        <v>45929</v>
      </c>
      <c r="C738" t="s">
        <v>142</v>
      </c>
      <c r="D738" t="s">
        <v>235</v>
      </c>
      <c r="E738" t="s">
        <v>15</v>
      </c>
      <c r="F738">
        <v>2</v>
      </c>
      <c r="G738" s="1">
        <v>130</v>
      </c>
      <c r="H738" s="1">
        <v>63.24</v>
      </c>
      <c r="I738" s="5">
        <v>45932</v>
      </c>
      <c r="J738" t="s">
        <v>46</v>
      </c>
      <c r="K738" t="s">
        <v>47</v>
      </c>
      <c r="L738" t="s">
        <v>25</v>
      </c>
      <c r="M738" s="1">
        <f>(orders[[#This Row],[Revenue]]-orders[[#This Row],[Cost]])</f>
        <v>66.759999999999991</v>
      </c>
      <c r="N738" s="8">
        <f>IFERROR(orders[[#This Row],[profit]]/orders[[#This Row],[Revenue]],0)</f>
        <v>0.5135384615384615</v>
      </c>
      <c r="O738">
        <f>IF(orders[[#This Row],[Delivery Date]]="","",(orders[[#This Row],[Delivery Date]]-orders[[#This Row],[Date]]))</f>
        <v>3</v>
      </c>
      <c r="P738" t="str">
        <f>IF(orders[[#This Row],[delivery days]]="","Not Delivered",IF(orders[[#This Row],[delivery days]]&lt;=2,"Fast",IF(orders[[#This Row],[delivery days]]&lt;=5,"Normal","Delayed")))</f>
        <v>Normal</v>
      </c>
    </row>
    <row r="739" spans="1:16" x14ac:dyDescent="0.25">
      <c r="A739" t="s">
        <v>875</v>
      </c>
      <c r="B739" s="5">
        <v>45929</v>
      </c>
      <c r="C739" t="s">
        <v>99</v>
      </c>
      <c r="D739" t="s">
        <v>80</v>
      </c>
      <c r="E739" t="s">
        <v>77</v>
      </c>
      <c r="F739">
        <v>1</v>
      </c>
      <c r="G739" s="1">
        <v>69</v>
      </c>
      <c r="H739" s="1">
        <v>38</v>
      </c>
      <c r="I739" s="5">
        <v>45933</v>
      </c>
      <c r="J739" t="s">
        <v>23</v>
      </c>
      <c r="K739" t="s">
        <v>24</v>
      </c>
      <c r="L739" t="s">
        <v>25</v>
      </c>
      <c r="M739" s="1">
        <f>(orders[[#This Row],[Revenue]]-orders[[#This Row],[Cost]])</f>
        <v>31</v>
      </c>
      <c r="N739" s="8">
        <f>IFERROR(orders[[#This Row],[profit]]/orders[[#This Row],[Revenue]],0)</f>
        <v>0.44927536231884058</v>
      </c>
      <c r="O739">
        <f>IF(orders[[#This Row],[Delivery Date]]="","",(orders[[#This Row],[Delivery Date]]-orders[[#This Row],[Date]]))</f>
        <v>4</v>
      </c>
      <c r="P739" t="str">
        <f>IF(orders[[#This Row],[delivery days]]="","Not Delivered",IF(orders[[#This Row],[delivery days]]&lt;=2,"Fast",IF(orders[[#This Row],[delivery days]]&lt;=5,"Normal","Delayed")))</f>
        <v>Normal</v>
      </c>
    </row>
    <row r="740" spans="1:16" x14ac:dyDescent="0.25">
      <c r="A740" t="s">
        <v>876</v>
      </c>
      <c r="B740" s="5">
        <v>45930</v>
      </c>
      <c r="C740" t="s">
        <v>382</v>
      </c>
      <c r="D740" t="s">
        <v>70</v>
      </c>
      <c r="E740" t="s">
        <v>62</v>
      </c>
      <c r="F740">
        <v>4</v>
      </c>
      <c r="G740" s="1">
        <v>540</v>
      </c>
      <c r="H740" s="1">
        <v>312</v>
      </c>
      <c r="I740" s="5"/>
      <c r="J740" t="s">
        <v>30</v>
      </c>
      <c r="K740" t="s">
        <v>35</v>
      </c>
      <c r="L740" t="s">
        <v>42</v>
      </c>
      <c r="M740" s="1">
        <f>(orders[[#This Row],[Revenue]]-orders[[#This Row],[Cost]])</f>
        <v>228</v>
      </c>
      <c r="N740" s="8">
        <f>IFERROR(orders[[#This Row],[profit]]/orders[[#This Row],[Revenue]],0)</f>
        <v>0.42222222222222222</v>
      </c>
      <c r="O740" t="str">
        <f>IF(orders[[#This Row],[Delivery Date]]="","",(orders[[#This Row],[Delivery Date]]-orders[[#This Row],[Date]]))</f>
        <v/>
      </c>
      <c r="P740" t="str">
        <f>IF(orders[[#This Row],[delivery days]]="","Not Delivered",IF(orders[[#This Row],[delivery days]]&lt;=2,"Fast",IF(orders[[#This Row],[delivery days]]&lt;=5,"Normal","Delayed")))</f>
        <v>Not Delivered</v>
      </c>
    </row>
    <row r="741" spans="1:16" x14ac:dyDescent="0.25">
      <c r="A741" t="s">
        <v>877</v>
      </c>
      <c r="B741" s="5">
        <v>45931</v>
      </c>
      <c r="C741" t="s">
        <v>149</v>
      </c>
      <c r="D741" t="s">
        <v>168</v>
      </c>
      <c r="E741" t="s">
        <v>29</v>
      </c>
      <c r="F741">
        <v>3</v>
      </c>
      <c r="G741" s="1">
        <v>66</v>
      </c>
      <c r="H741" s="1">
        <v>23.52</v>
      </c>
      <c r="I741" s="5">
        <v>45934</v>
      </c>
      <c r="J741" t="s">
        <v>16</v>
      </c>
      <c r="K741" t="s">
        <v>35</v>
      </c>
      <c r="L741" t="s">
        <v>25</v>
      </c>
      <c r="M741" s="1">
        <f>(orders[[#This Row],[Revenue]]-orders[[#This Row],[Cost]])</f>
        <v>42.480000000000004</v>
      </c>
      <c r="N741" s="8">
        <f>IFERROR(orders[[#This Row],[profit]]/orders[[#This Row],[Revenue]],0)</f>
        <v>0.64363636363636367</v>
      </c>
      <c r="O741">
        <f>IF(orders[[#This Row],[Delivery Date]]="","",(orders[[#This Row],[Delivery Date]]-orders[[#This Row],[Date]]))</f>
        <v>3</v>
      </c>
      <c r="P741" t="str">
        <f>IF(orders[[#This Row],[delivery days]]="","Not Delivered",IF(orders[[#This Row],[delivery days]]&lt;=2,"Fast",IF(orders[[#This Row],[delivery days]]&lt;=5,"Normal","Delayed")))</f>
        <v>Normal</v>
      </c>
    </row>
    <row r="742" spans="1:16" x14ac:dyDescent="0.25">
      <c r="A742" t="s">
        <v>878</v>
      </c>
      <c r="B742" s="5">
        <v>45931</v>
      </c>
      <c r="C742" t="s">
        <v>92</v>
      </c>
      <c r="D742" t="s">
        <v>14</v>
      </c>
      <c r="E742" t="s">
        <v>15</v>
      </c>
      <c r="F742">
        <v>1</v>
      </c>
      <c r="G742" s="1">
        <v>25</v>
      </c>
      <c r="H742" s="1">
        <v>9.18</v>
      </c>
      <c r="I742" s="5"/>
      <c r="J742" t="s">
        <v>30</v>
      </c>
      <c r="K742" t="s">
        <v>35</v>
      </c>
      <c r="L742" t="s">
        <v>42</v>
      </c>
      <c r="M742" s="1">
        <f>(orders[[#This Row],[Revenue]]-orders[[#This Row],[Cost]])</f>
        <v>15.82</v>
      </c>
      <c r="N742" s="8">
        <f>IFERROR(orders[[#This Row],[profit]]/orders[[#This Row],[Revenue]],0)</f>
        <v>0.63280000000000003</v>
      </c>
      <c r="O742" t="str">
        <f>IF(orders[[#This Row],[Delivery Date]]="","",(orders[[#This Row],[Delivery Date]]-orders[[#This Row],[Date]]))</f>
        <v/>
      </c>
      <c r="P742" t="str">
        <f>IF(orders[[#This Row],[delivery days]]="","Not Delivered",IF(orders[[#This Row],[delivery days]]&lt;=2,"Fast",IF(orders[[#This Row],[delivery days]]&lt;=5,"Normal","Delayed")))</f>
        <v>Not Delivered</v>
      </c>
    </row>
    <row r="743" spans="1:16" x14ac:dyDescent="0.25">
      <c r="A743" t="s">
        <v>879</v>
      </c>
      <c r="B743" s="5">
        <v>45931</v>
      </c>
      <c r="C743" t="s">
        <v>325</v>
      </c>
      <c r="D743" t="s">
        <v>28</v>
      </c>
      <c r="E743" t="s">
        <v>29</v>
      </c>
      <c r="F743">
        <v>2</v>
      </c>
      <c r="G743" s="1">
        <v>48</v>
      </c>
      <c r="H743" s="1">
        <v>18</v>
      </c>
      <c r="I743" s="5">
        <v>45932</v>
      </c>
      <c r="J743" t="s">
        <v>16</v>
      </c>
      <c r="K743" t="s">
        <v>35</v>
      </c>
      <c r="L743" t="s">
        <v>25</v>
      </c>
      <c r="M743" s="1">
        <f>(orders[[#This Row],[Revenue]]-orders[[#This Row],[Cost]])</f>
        <v>30</v>
      </c>
      <c r="N743" s="8">
        <f>IFERROR(orders[[#This Row],[profit]]/orders[[#This Row],[Revenue]],0)</f>
        <v>0.625</v>
      </c>
      <c r="O743">
        <f>IF(orders[[#This Row],[Delivery Date]]="","",(orders[[#This Row],[Delivery Date]]-orders[[#This Row],[Date]]))</f>
        <v>1</v>
      </c>
      <c r="P743" t="str">
        <f>IF(orders[[#This Row],[delivery days]]="","Not Delivered",IF(orders[[#This Row],[delivery days]]&lt;=2,"Fast",IF(orders[[#This Row],[delivery days]]&lt;=5,"Normal","Delayed")))</f>
        <v>Fast</v>
      </c>
    </row>
    <row r="744" spans="1:16" x14ac:dyDescent="0.25">
      <c r="A744" t="s">
        <v>880</v>
      </c>
      <c r="B744" s="5">
        <v>45932</v>
      </c>
      <c r="C744" t="s">
        <v>32</v>
      </c>
      <c r="D744" t="s">
        <v>270</v>
      </c>
      <c r="E744" t="s">
        <v>39</v>
      </c>
      <c r="F744">
        <v>2</v>
      </c>
      <c r="G744" s="1">
        <v>87.3</v>
      </c>
      <c r="H744" s="1">
        <v>44</v>
      </c>
      <c r="I744" s="5">
        <v>45935</v>
      </c>
      <c r="J744" t="s">
        <v>23</v>
      </c>
      <c r="K744" t="s">
        <v>24</v>
      </c>
      <c r="L744" t="s">
        <v>25</v>
      </c>
      <c r="M744" s="1">
        <f>(orders[[#This Row],[Revenue]]-orders[[#This Row],[Cost]])</f>
        <v>43.3</v>
      </c>
      <c r="N744" s="8">
        <f>IFERROR(orders[[#This Row],[profit]]/orders[[#This Row],[Revenue]],0)</f>
        <v>0.49599083619702172</v>
      </c>
      <c r="O744">
        <f>IF(orders[[#This Row],[Delivery Date]]="","",(orders[[#This Row],[Delivery Date]]-orders[[#This Row],[Date]]))</f>
        <v>3</v>
      </c>
      <c r="P744" t="str">
        <f>IF(orders[[#This Row],[delivery days]]="","Not Delivered",IF(orders[[#This Row],[delivery days]]&lt;=2,"Fast",IF(orders[[#This Row],[delivery days]]&lt;=5,"Normal","Delayed")))</f>
        <v>Normal</v>
      </c>
    </row>
    <row r="745" spans="1:16" x14ac:dyDescent="0.25">
      <c r="A745" t="s">
        <v>881</v>
      </c>
      <c r="B745" s="5">
        <v>45932</v>
      </c>
      <c r="C745" t="s">
        <v>69</v>
      </c>
      <c r="D745" t="s">
        <v>308</v>
      </c>
      <c r="E745" t="s">
        <v>22</v>
      </c>
      <c r="F745">
        <v>1</v>
      </c>
      <c r="G745" s="1">
        <v>72.75</v>
      </c>
      <c r="H745" s="1">
        <v>34</v>
      </c>
      <c r="I745" s="5">
        <v>45935</v>
      </c>
      <c r="J745" t="s">
        <v>30</v>
      </c>
      <c r="K745" t="s">
        <v>17</v>
      </c>
      <c r="L745" t="s">
        <v>25</v>
      </c>
      <c r="M745" s="1">
        <f>(orders[[#This Row],[Revenue]]-orders[[#This Row],[Cost]])</f>
        <v>38.75</v>
      </c>
      <c r="N745" s="8">
        <f>IFERROR(orders[[#This Row],[profit]]/orders[[#This Row],[Revenue]],0)</f>
        <v>0.53264604810996563</v>
      </c>
      <c r="O745">
        <f>IF(orders[[#This Row],[Delivery Date]]="","",(orders[[#This Row],[Delivery Date]]-orders[[#This Row],[Date]]))</f>
        <v>3</v>
      </c>
      <c r="P745" t="str">
        <f>IF(orders[[#This Row],[delivery days]]="","Not Delivered",IF(orders[[#This Row],[delivery days]]&lt;=2,"Fast",IF(orders[[#This Row],[delivery days]]&lt;=5,"Normal","Delayed")))</f>
        <v>Normal</v>
      </c>
    </row>
    <row r="746" spans="1:16" x14ac:dyDescent="0.25">
      <c r="A746" t="s">
        <v>882</v>
      </c>
      <c r="B746" s="5">
        <v>45932</v>
      </c>
      <c r="C746" t="s">
        <v>278</v>
      </c>
      <c r="D746" t="s">
        <v>55</v>
      </c>
      <c r="E746" t="s">
        <v>39</v>
      </c>
      <c r="F746">
        <v>5</v>
      </c>
      <c r="G746" s="1">
        <v>2100</v>
      </c>
      <c r="H746" s="1">
        <v>1375</v>
      </c>
      <c r="I746" s="5"/>
      <c r="J746" t="s">
        <v>101</v>
      </c>
      <c r="K746" t="s">
        <v>35</v>
      </c>
      <c r="L746" t="s">
        <v>103</v>
      </c>
      <c r="M746" s="1">
        <f>(orders[[#This Row],[Revenue]]-orders[[#This Row],[Cost]])</f>
        <v>725</v>
      </c>
      <c r="N746" s="8">
        <f>IFERROR(orders[[#This Row],[profit]]/orders[[#This Row],[Revenue]],0)</f>
        <v>0.34523809523809523</v>
      </c>
      <c r="O746" t="str">
        <f>IF(orders[[#This Row],[Delivery Date]]="","",(orders[[#This Row],[Delivery Date]]-orders[[#This Row],[Date]]))</f>
        <v/>
      </c>
      <c r="P746" t="str">
        <f>IF(orders[[#This Row],[delivery days]]="","Not Delivered",IF(orders[[#This Row],[delivery days]]&lt;=2,"Fast",IF(orders[[#This Row],[delivery days]]&lt;=5,"Normal","Delayed")))</f>
        <v>Not Delivered</v>
      </c>
    </row>
    <row r="747" spans="1:16" x14ac:dyDescent="0.25">
      <c r="A747" t="s">
        <v>883</v>
      </c>
      <c r="B747" s="5">
        <v>45933</v>
      </c>
      <c r="C747" t="s">
        <v>75</v>
      </c>
      <c r="D747" t="s">
        <v>86</v>
      </c>
      <c r="E747" t="s">
        <v>29</v>
      </c>
      <c r="F747">
        <v>2</v>
      </c>
      <c r="G747" s="1">
        <v>58</v>
      </c>
      <c r="H747" s="1">
        <v>24.48</v>
      </c>
      <c r="I747" s="5">
        <v>45938</v>
      </c>
      <c r="J747" t="s">
        <v>16</v>
      </c>
      <c r="K747" t="s">
        <v>17</v>
      </c>
      <c r="L747" t="s">
        <v>25</v>
      </c>
      <c r="M747" s="1">
        <f>(orders[[#This Row],[Revenue]]-orders[[#This Row],[Cost]])</f>
        <v>33.519999999999996</v>
      </c>
      <c r="N747" s="8">
        <f>IFERROR(orders[[#This Row],[profit]]/orders[[#This Row],[Revenue]],0)</f>
        <v>0.57793103448275851</v>
      </c>
      <c r="O747">
        <f>IF(orders[[#This Row],[Delivery Date]]="","",(orders[[#This Row],[Delivery Date]]-orders[[#This Row],[Date]]))</f>
        <v>5</v>
      </c>
      <c r="P747" t="str">
        <f>IF(orders[[#This Row],[delivery days]]="","Not Delivered",IF(orders[[#This Row],[delivery days]]&lt;=2,"Fast",IF(orders[[#This Row],[delivery days]]&lt;=5,"Normal","Delayed")))</f>
        <v>Normal</v>
      </c>
    </row>
    <row r="748" spans="1:16" x14ac:dyDescent="0.25">
      <c r="A748" t="s">
        <v>884</v>
      </c>
      <c r="B748" s="5">
        <v>45933</v>
      </c>
      <c r="C748" t="s">
        <v>96</v>
      </c>
      <c r="D748" t="s">
        <v>55</v>
      </c>
      <c r="E748" t="s">
        <v>39</v>
      </c>
      <c r="F748">
        <v>1</v>
      </c>
      <c r="G748" s="1">
        <v>420</v>
      </c>
      <c r="H748" s="1">
        <v>280.5</v>
      </c>
      <c r="I748" s="5">
        <v>45936</v>
      </c>
      <c r="J748" t="s">
        <v>46</v>
      </c>
      <c r="K748" t="s">
        <v>24</v>
      </c>
      <c r="L748" t="s">
        <v>25</v>
      </c>
      <c r="M748" s="1">
        <f>(orders[[#This Row],[Revenue]]-orders[[#This Row],[Cost]])</f>
        <v>139.5</v>
      </c>
      <c r="N748" s="8">
        <f>IFERROR(orders[[#This Row],[profit]]/orders[[#This Row],[Revenue]],0)</f>
        <v>0.33214285714285713</v>
      </c>
      <c r="O748">
        <f>IF(orders[[#This Row],[Delivery Date]]="","",(orders[[#This Row],[Delivery Date]]-orders[[#This Row],[Date]]))</f>
        <v>3</v>
      </c>
      <c r="P748" t="str">
        <f>IF(orders[[#This Row],[delivery days]]="","Not Delivered",IF(orders[[#This Row],[delivery days]]&lt;=2,"Fast",IF(orders[[#This Row],[delivery days]]&lt;=5,"Normal","Delayed")))</f>
        <v>Normal</v>
      </c>
    </row>
    <row r="749" spans="1:16" x14ac:dyDescent="0.25">
      <c r="A749" t="s">
        <v>885</v>
      </c>
      <c r="B749" s="5">
        <v>45933</v>
      </c>
      <c r="C749" t="s">
        <v>60</v>
      </c>
      <c r="D749" t="s">
        <v>135</v>
      </c>
      <c r="E749" t="s">
        <v>62</v>
      </c>
      <c r="F749">
        <v>1</v>
      </c>
      <c r="G749" s="1">
        <v>111.55</v>
      </c>
      <c r="H749" s="1">
        <v>63</v>
      </c>
      <c r="I749" s="5">
        <v>45935</v>
      </c>
      <c r="J749" t="s">
        <v>23</v>
      </c>
      <c r="K749" t="s">
        <v>17</v>
      </c>
      <c r="L749" t="s">
        <v>25</v>
      </c>
      <c r="M749" s="1">
        <f>(orders[[#This Row],[Revenue]]-orders[[#This Row],[Cost]])</f>
        <v>48.55</v>
      </c>
      <c r="N749" s="8">
        <f>IFERROR(orders[[#This Row],[profit]]/orders[[#This Row],[Revenue]],0)</f>
        <v>0.43523083818915281</v>
      </c>
      <c r="O749">
        <f>IF(orders[[#This Row],[Delivery Date]]="","",(orders[[#This Row],[Delivery Date]]-orders[[#This Row],[Date]]))</f>
        <v>2</v>
      </c>
      <c r="P749" t="str">
        <f>IF(orders[[#This Row],[delivery days]]="","Not Delivered",IF(orders[[#This Row],[delivery days]]&lt;=2,"Fast",IF(orders[[#This Row],[delivery days]]&lt;=5,"Normal","Delayed")))</f>
        <v>Fast</v>
      </c>
    </row>
    <row r="750" spans="1:16" x14ac:dyDescent="0.25">
      <c r="A750" t="s">
        <v>886</v>
      </c>
      <c r="B750" s="5">
        <v>45933</v>
      </c>
      <c r="C750" t="s">
        <v>139</v>
      </c>
      <c r="D750" t="s">
        <v>308</v>
      </c>
      <c r="E750" t="s">
        <v>22</v>
      </c>
      <c r="F750">
        <v>1</v>
      </c>
      <c r="G750" s="1">
        <v>69</v>
      </c>
      <c r="H750" s="1">
        <v>34</v>
      </c>
      <c r="I750" s="5"/>
      <c r="J750" t="s">
        <v>101</v>
      </c>
      <c r="K750" t="s">
        <v>47</v>
      </c>
      <c r="L750" t="s">
        <v>42</v>
      </c>
      <c r="M750" s="1">
        <f>(orders[[#This Row],[Revenue]]-orders[[#This Row],[Cost]])</f>
        <v>35</v>
      </c>
      <c r="N750" s="8">
        <f>IFERROR(orders[[#This Row],[profit]]/orders[[#This Row],[Revenue]],0)</f>
        <v>0.50724637681159424</v>
      </c>
      <c r="O750" t="str">
        <f>IF(orders[[#This Row],[Delivery Date]]="","",(orders[[#This Row],[Delivery Date]]-orders[[#This Row],[Date]]))</f>
        <v/>
      </c>
      <c r="P750" t="str">
        <f>IF(orders[[#This Row],[delivery days]]="","Not Delivered",IF(orders[[#This Row],[delivery days]]&lt;=2,"Fast",IF(orders[[#This Row],[delivery days]]&lt;=5,"Normal","Delayed")))</f>
        <v>Not Delivered</v>
      </c>
    </row>
    <row r="751" spans="1:16" x14ac:dyDescent="0.25">
      <c r="A751" t="s">
        <v>887</v>
      </c>
      <c r="B751" s="5">
        <v>45934</v>
      </c>
      <c r="C751" t="s">
        <v>139</v>
      </c>
      <c r="D751" t="s">
        <v>97</v>
      </c>
      <c r="E751" t="s">
        <v>39</v>
      </c>
      <c r="F751">
        <v>1</v>
      </c>
      <c r="G751" s="1">
        <v>358.8</v>
      </c>
      <c r="H751" s="1">
        <v>260</v>
      </c>
      <c r="I751" s="5">
        <v>45937</v>
      </c>
      <c r="J751" t="s">
        <v>16</v>
      </c>
      <c r="K751" t="s">
        <v>17</v>
      </c>
      <c r="L751" t="s">
        <v>25</v>
      </c>
      <c r="M751" s="1">
        <f>(orders[[#This Row],[Revenue]]-orders[[#This Row],[Cost]])</f>
        <v>98.800000000000011</v>
      </c>
      <c r="N751" s="8">
        <f>IFERROR(orders[[#This Row],[profit]]/orders[[#This Row],[Revenue]],0)</f>
        <v>0.27536231884057971</v>
      </c>
      <c r="O751">
        <f>IF(orders[[#This Row],[Delivery Date]]="","",(orders[[#This Row],[Delivery Date]]-orders[[#This Row],[Date]]))</f>
        <v>3</v>
      </c>
      <c r="P751" t="str">
        <f>IF(orders[[#This Row],[delivery days]]="","Not Delivered",IF(orders[[#This Row],[delivery days]]&lt;=2,"Fast",IF(orders[[#This Row],[delivery days]]&lt;=5,"Normal","Delayed")))</f>
        <v>Normal</v>
      </c>
    </row>
    <row r="752" spans="1:16" x14ac:dyDescent="0.25">
      <c r="A752" t="s">
        <v>888</v>
      </c>
      <c r="B752" s="5">
        <v>45934</v>
      </c>
      <c r="C752" t="s">
        <v>75</v>
      </c>
      <c r="D752" t="s">
        <v>224</v>
      </c>
      <c r="E752" t="s">
        <v>77</v>
      </c>
      <c r="F752">
        <v>1</v>
      </c>
      <c r="G752" s="1">
        <v>125</v>
      </c>
      <c r="H752" s="1">
        <v>65.66</v>
      </c>
      <c r="I752" s="5">
        <v>45939</v>
      </c>
      <c r="J752" t="s">
        <v>16</v>
      </c>
      <c r="K752" t="s">
        <v>35</v>
      </c>
      <c r="L752" t="s">
        <v>25</v>
      </c>
      <c r="M752" s="1">
        <f>(orders[[#This Row],[Revenue]]-orders[[#This Row],[Cost]])</f>
        <v>59.34</v>
      </c>
      <c r="N752" s="8">
        <f>IFERROR(orders[[#This Row],[profit]]/orders[[#This Row],[Revenue]],0)</f>
        <v>0.47472000000000003</v>
      </c>
      <c r="O752">
        <f>IF(orders[[#This Row],[Delivery Date]]="","",(orders[[#This Row],[Delivery Date]]-orders[[#This Row],[Date]]))</f>
        <v>5</v>
      </c>
      <c r="P752" t="str">
        <f>IF(orders[[#This Row],[delivery days]]="","Not Delivered",IF(orders[[#This Row],[delivery days]]&lt;=2,"Fast",IF(orders[[#This Row],[delivery days]]&lt;=5,"Normal","Delayed")))</f>
        <v>Normal</v>
      </c>
    </row>
    <row r="753" spans="1:16" x14ac:dyDescent="0.25">
      <c r="A753" t="s">
        <v>889</v>
      </c>
      <c r="B753" s="5">
        <v>45936</v>
      </c>
      <c r="C753" t="s">
        <v>96</v>
      </c>
      <c r="D753" t="s">
        <v>108</v>
      </c>
      <c r="E753" t="s">
        <v>22</v>
      </c>
      <c r="F753">
        <v>1</v>
      </c>
      <c r="G753" s="1">
        <v>95</v>
      </c>
      <c r="H753" s="1">
        <v>42</v>
      </c>
      <c r="I753" s="5">
        <v>45939</v>
      </c>
      <c r="J753" t="s">
        <v>23</v>
      </c>
      <c r="K753" t="s">
        <v>24</v>
      </c>
      <c r="L753" t="s">
        <v>25</v>
      </c>
      <c r="M753" s="1">
        <f>(orders[[#This Row],[Revenue]]-orders[[#This Row],[Cost]])</f>
        <v>53</v>
      </c>
      <c r="N753" s="8">
        <f>IFERROR(orders[[#This Row],[profit]]/orders[[#This Row],[Revenue]],0)</f>
        <v>0.55789473684210522</v>
      </c>
      <c r="O753">
        <f>IF(orders[[#This Row],[Delivery Date]]="","",(orders[[#This Row],[Delivery Date]]-orders[[#This Row],[Date]]))</f>
        <v>3</v>
      </c>
      <c r="P753" t="str">
        <f>IF(orders[[#This Row],[delivery days]]="","Not Delivered",IF(orders[[#This Row],[delivery days]]&lt;=2,"Fast",IF(orders[[#This Row],[delivery days]]&lt;=5,"Normal","Delayed")))</f>
        <v>Normal</v>
      </c>
    </row>
    <row r="754" spans="1:16" x14ac:dyDescent="0.25">
      <c r="A754" t="s">
        <v>890</v>
      </c>
      <c r="B754" s="5">
        <v>45936</v>
      </c>
      <c r="C754" t="s">
        <v>217</v>
      </c>
      <c r="D754" t="s">
        <v>119</v>
      </c>
      <c r="E754" t="s">
        <v>39</v>
      </c>
      <c r="F754">
        <v>2</v>
      </c>
      <c r="G754" s="1">
        <v>106.7</v>
      </c>
      <c r="H754" s="1">
        <v>56</v>
      </c>
      <c r="I754" s="5">
        <v>45939</v>
      </c>
      <c r="J754" t="s">
        <v>30</v>
      </c>
      <c r="K754" t="s">
        <v>17</v>
      </c>
      <c r="L754" t="s">
        <v>18</v>
      </c>
      <c r="M754" s="1">
        <f>(orders[[#This Row],[Revenue]]-orders[[#This Row],[Cost]])</f>
        <v>50.7</v>
      </c>
      <c r="N754" s="8">
        <f>IFERROR(orders[[#This Row],[profit]]/orders[[#This Row],[Revenue]],0)</f>
        <v>0.4751640112464855</v>
      </c>
      <c r="O754">
        <f>IF(orders[[#This Row],[Delivery Date]]="","",(orders[[#This Row],[Delivery Date]]-orders[[#This Row],[Date]]))</f>
        <v>3</v>
      </c>
      <c r="P754" t="str">
        <f>IF(orders[[#This Row],[delivery days]]="","Not Delivered",IF(orders[[#This Row],[delivery days]]&lt;=2,"Fast",IF(orders[[#This Row],[delivery days]]&lt;=5,"Normal","Delayed")))</f>
        <v>Normal</v>
      </c>
    </row>
    <row r="755" spans="1:16" x14ac:dyDescent="0.25">
      <c r="A755" t="s">
        <v>891</v>
      </c>
      <c r="B755" s="5">
        <v>45937</v>
      </c>
      <c r="C755" t="s">
        <v>181</v>
      </c>
      <c r="D755" t="s">
        <v>119</v>
      </c>
      <c r="E755" t="s">
        <v>39</v>
      </c>
      <c r="F755">
        <v>1</v>
      </c>
      <c r="G755" s="1">
        <v>55</v>
      </c>
      <c r="H755" s="1">
        <v>28</v>
      </c>
      <c r="I755" s="5">
        <v>45941</v>
      </c>
      <c r="J755" t="s">
        <v>101</v>
      </c>
      <c r="K755" t="s">
        <v>35</v>
      </c>
      <c r="L755" t="s">
        <v>25</v>
      </c>
      <c r="M755" s="1">
        <f>(orders[[#This Row],[Revenue]]-orders[[#This Row],[Cost]])</f>
        <v>27</v>
      </c>
      <c r="N755" s="8">
        <f>IFERROR(orders[[#This Row],[profit]]/orders[[#This Row],[Revenue]],0)</f>
        <v>0.49090909090909091</v>
      </c>
      <c r="O755">
        <f>IF(orders[[#This Row],[Delivery Date]]="","",(orders[[#This Row],[Delivery Date]]-orders[[#This Row],[Date]]))</f>
        <v>4</v>
      </c>
      <c r="P755" t="str">
        <f>IF(orders[[#This Row],[delivery days]]="","Not Delivered",IF(orders[[#This Row],[delivery days]]&lt;=2,"Fast",IF(orders[[#This Row],[delivery days]]&lt;=5,"Normal","Delayed")))</f>
        <v>Normal</v>
      </c>
    </row>
    <row r="756" spans="1:16" x14ac:dyDescent="0.25">
      <c r="A756" t="s">
        <v>892</v>
      </c>
      <c r="B756" s="5">
        <v>45938</v>
      </c>
      <c r="C756" t="s">
        <v>200</v>
      </c>
      <c r="D756" t="s">
        <v>110</v>
      </c>
      <c r="E756" t="s">
        <v>39</v>
      </c>
      <c r="F756">
        <v>1</v>
      </c>
      <c r="G756" s="1">
        <v>210</v>
      </c>
      <c r="H756" s="1">
        <v>125</v>
      </c>
      <c r="I756" s="5"/>
      <c r="J756" t="s">
        <v>30</v>
      </c>
      <c r="K756" t="s">
        <v>35</v>
      </c>
      <c r="L756" t="s">
        <v>42</v>
      </c>
      <c r="M756" s="1">
        <f>(orders[[#This Row],[Revenue]]-orders[[#This Row],[Cost]])</f>
        <v>85</v>
      </c>
      <c r="N756" s="8">
        <f>IFERROR(orders[[#This Row],[profit]]/orders[[#This Row],[Revenue]],0)</f>
        <v>0.40476190476190477</v>
      </c>
      <c r="O756" t="str">
        <f>IF(orders[[#This Row],[Delivery Date]]="","",(orders[[#This Row],[Delivery Date]]-orders[[#This Row],[Date]]))</f>
        <v/>
      </c>
      <c r="P756" t="str">
        <f>IF(orders[[#This Row],[delivery days]]="","Not Delivered",IF(orders[[#This Row],[delivery days]]&lt;=2,"Fast",IF(orders[[#This Row],[delivery days]]&lt;=5,"Normal","Delayed")))</f>
        <v>Not Delivered</v>
      </c>
    </row>
    <row r="757" spans="1:16" x14ac:dyDescent="0.25">
      <c r="A757" t="s">
        <v>893</v>
      </c>
      <c r="B757" s="5">
        <v>45938</v>
      </c>
      <c r="C757" t="s">
        <v>96</v>
      </c>
      <c r="D757" t="s">
        <v>150</v>
      </c>
      <c r="E757" t="s">
        <v>77</v>
      </c>
      <c r="F757">
        <v>1</v>
      </c>
      <c r="G757" s="1">
        <v>85</v>
      </c>
      <c r="H757" s="1">
        <v>44</v>
      </c>
      <c r="I757" s="5">
        <v>45941</v>
      </c>
      <c r="J757" t="s">
        <v>23</v>
      </c>
      <c r="K757" t="s">
        <v>17</v>
      </c>
      <c r="L757" t="s">
        <v>25</v>
      </c>
      <c r="M757" s="1">
        <f>(orders[[#This Row],[Revenue]]-orders[[#This Row],[Cost]])</f>
        <v>41</v>
      </c>
      <c r="N757" s="8">
        <f>IFERROR(orders[[#This Row],[profit]]/orders[[#This Row],[Revenue]],0)</f>
        <v>0.4823529411764706</v>
      </c>
      <c r="O757">
        <f>IF(orders[[#This Row],[Delivery Date]]="","",(orders[[#This Row],[Delivery Date]]-orders[[#This Row],[Date]]))</f>
        <v>3</v>
      </c>
      <c r="P757" t="str">
        <f>IF(orders[[#This Row],[delivery days]]="","Not Delivered",IF(orders[[#This Row],[delivery days]]&lt;=2,"Fast",IF(orders[[#This Row],[delivery days]]&lt;=5,"Normal","Delayed")))</f>
        <v>Normal</v>
      </c>
    </row>
    <row r="758" spans="1:16" x14ac:dyDescent="0.25">
      <c r="A758" t="s">
        <v>894</v>
      </c>
      <c r="B758" s="5">
        <v>45938</v>
      </c>
      <c r="C758" t="s">
        <v>79</v>
      </c>
      <c r="D758" t="s">
        <v>108</v>
      </c>
      <c r="E758" t="s">
        <v>22</v>
      </c>
      <c r="F758">
        <v>1</v>
      </c>
      <c r="G758" s="1">
        <v>92.15</v>
      </c>
      <c r="H758" s="1">
        <v>42.84</v>
      </c>
      <c r="I758" s="5"/>
      <c r="J758" t="s">
        <v>101</v>
      </c>
      <c r="K758" t="s">
        <v>35</v>
      </c>
      <c r="L758" t="s">
        <v>42</v>
      </c>
      <c r="M758" s="1">
        <f>(orders[[#This Row],[Revenue]]-orders[[#This Row],[Cost]])</f>
        <v>49.31</v>
      </c>
      <c r="N758" s="8">
        <f>IFERROR(orders[[#This Row],[profit]]/orders[[#This Row],[Revenue]],0)</f>
        <v>0.53510580575149214</v>
      </c>
      <c r="O758" t="str">
        <f>IF(orders[[#This Row],[Delivery Date]]="","",(orders[[#This Row],[Delivery Date]]-orders[[#This Row],[Date]]))</f>
        <v/>
      </c>
      <c r="P758" t="str">
        <f>IF(orders[[#This Row],[delivery days]]="","Not Delivered",IF(orders[[#This Row],[delivery days]]&lt;=2,"Fast",IF(orders[[#This Row],[delivery days]]&lt;=5,"Normal","Delayed")))</f>
        <v>Not Delivered</v>
      </c>
    </row>
    <row r="759" spans="1:16" x14ac:dyDescent="0.25">
      <c r="A759" t="s">
        <v>895</v>
      </c>
      <c r="B759" s="5">
        <v>45938</v>
      </c>
      <c r="C759" t="s">
        <v>54</v>
      </c>
      <c r="D759" t="s">
        <v>215</v>
      </c>
      <c r="E759" t="s">
        <v>62</v>
      </c>
      <c r="F759">
        <v>1</v>
      </c>
      <c r="G759" s="1">
        <v>220</v>
      </c>
      <c r="H759" s="1">
        <v>142</v>
      </c>
      <c r="I759" s="5">
        <v>45941</v>
      </c>
      <c r="J759" t="s">
        <v>101</v>
      </c>
      <c r="K759" t="s">
        <v>47</v>
      </c>
      <c r="L759" t="s">
        <v>25</v>
      </c>
      <c r="M759" s="1">
        <f>(orders[[#This Row],[Revenue]]-orders[[#This Row],[Cost]])</f>
        <v>78</v>
      </c>
      <c r="N759" s="8">
        <f>IFERROR(orders[[#This Row],[profit]]/orders[[#This Row],[Revenue]],0)</f>
        <v>0.35454545454545455</v>
      </c>
      <c r="O759">
        <f>IF(orders[[#This Row],[Delivery Date]]="","",(orders[[#This Row],[Delivery Date]]-orders[[#This Row],[Date]]))</f>
        <v>3</v>
      </c>
      <c r="P759" t="str">
        <f>IF(orders[[#This Row],[delivery days]]="","Not Delivered",IF(orders[[#This Row],[delivery days]]&lt;=2,"Fast",IF(orders[[#This Row],[delivery days]]&lt;=5,"Normal","Delayed")))</f>
        <v>Normal</v>
      </c>
    </row>
    <row r="760" spans="1:16" x14ac:dyDescent="0.25">
      <c r="A760" t="s">
        <v>896</v>
      </c>
      <c r="B760" s="5">
        <v>45938</v>
      </c>
      <c r="C760" t="s">
        <v>139</v>
      </c>
      <c r="D760" t="s">
        <v>14</v>
      </c>
      <c r="E760" t="s">
        <v>15</v>
      </c>
      <c r="F760">
        <v>2</v>
      </c>
      <c r="G760" s="1">
        <v>48.5</v>
      </c>
      <c r="H760" s="1">
        <v>18</v>
      </c>
      <c r="I760" s="5">
        <v>45941</v>
      </c>
      <c r="J760" t="s">
        <v>23</v>
      </c>
      <c r="K760" t="s">
        <v>24</v>
      </c>
      <c r="L760" t="s">
        <v>25</v>
      </c>
      <c r="M760" s="1">
        <f>(orders[[#This Row],[Revenue]]-orders[[#This Row],[Cost]])</f>
        <v>30.5</v>
      </c>
      <c r="N760" s="8">
        <f>IFERROR(orders[[#This Row],[profit]]/orders[[#This Row],[Revenue]],0)</f>
        <v>0.62886597938144329</v>
      </c>
      <c r="O760">
        <f>IF(orders[[#This Row],[Delivery Date]]="","",(orders[[#This Row],[Delivery Date]]-orders[[#This Row],[Date]]))</f>
        <v>3</v>
      </c>
      <c r="P760" t="str">
        <f>IF(orders[[#This Row],[delivery days]]="","Not Delivered",IF(orders[[#This Row],[delivery days]]&lt;=2,"Fast",IF(orders[[#This Row],[delivery days]]&lt;=5,"Normal","Delayed")))</f>
        <v>Normal</v>
      </c>
    </row>
    <row r="761" spans="1:16" x14ac:dyDescent="0.25">
      <c r="A761" t="s">
        <v>897</v>
      </c>
      <c r="B761" s="5">
        <v>45938</v>
      </c>
      <c r="C761" t="s">
        <v>57</v>
      </c>
      <c r="D761" t="s">
        <v>70</v>
      </c>
      <c r="E761" t="s">
        <v>62</v>
      </c>
      <c r="F761">
        <v>3</v>
      </c>
      <c r="G761" s="1">
        <v>437.4</v>
      </c>
      <c r="H761" s="1">
        <v>234</v>
      </c>
      <c r="I761" s="5">
        <v>45939</v>
      </c>
      <c r="J761" t="s">
        <v>30</v>
      </c>
      <c r="K761" t="s">
        <v>35</v>
      </c>
      <c r="L761" t="s">
        <v>18</v>
      </c>
      <c r="M761" s="1">
        <f>(orders[[#This Row],[Revenue]]-orders[[#This Row],[Cost]])</f>
        <v>203.39999999999998</v>
      </c>
      <c r="N761" s="8">
        <f>IFERROR(orders[[#This Row],[profit]]/orders[[#This Row],[Revenue]],0)</f>
        <v>0.46502057613168724</v>
      </c>
      <c r="O761">
        <f>IF(orders[[#This Row],[Delivery Date]]="","",(orders[[#This Row],[Delivery Date]]-orders[[#This Row],[Date]]))</f>
        <v>1</v>
      </c>
      <c r="P761" t="str">
        <f>IF(orders[[#This Row],[delivery days]]="","Not Delivered",IF(orders[[#This Row],[delivery days]]&lt;=2,"Fast",IF(orders[[#This Row],[delivery days]]&lt;=5,"Normal","Delayed")))</f>
        <v>Fast</v>
      </c>
    </row>
    <row r="762" spans="1:16" x14ac:dyDescent="0.25">
      <c r="A762" t="s">
        <v>898</v>
      </c>
      <c r="B762" s="5">
        <v>45939</v>
      </c>
      <c r="C762" t="s">
        <v>20</v>
      </c>
      <c r="D762" t="s">
        <v>45</v>
      </c>
      <c r="E762" t="s">
        <v>34</v>
      </c>
      <c r="F762">
        <v>1</v>
      </c>
      <c r="G762" s="1">
        <v>69.84</v>
      </c>
      <c r="H762" s="1">
        <v>31</v>
      </c>
      <c r="I762" s="5">
        <v>45945</v>
      </c>
      <c r="J762" t="s">
        <v>23</v>
      </c>
      <c r="K762" t="s">
        <v>24</v>
      </c>
      <c r="L762" t="s">
        <v>25</v>
      </c>
      <c r="M762" s="1">
        <f>(orders[[#This Row],[Revenue]]-orders[[#This Row],[Cost]])</f>
        <v>38.840000000000003</v>
      </c>
      <c r="N762" s="8">
        <f>IFERROR(orders[[#This Row],[profit]]/orders[[#This Row],[Revenue]],0)</f>
        <v>0.55612829324169533</v>
      </c>
      <c r="O762">
        <f>IF(orders[[#This Row],[Delivery Date]]="","",(orders[[#This Row],[Delivery Date]]-orders[[#This Row],[Date]]))</f>
        <v>6</v>
      </c>
      <c r="P762" t="str">
        <f>IF(orders[[#This Row],[delivery days]]="","Not Delivered",IF(orders[[#This Row],[delivery days]]&lt;=2,"Fast",IF(orders[[#This Row],[delivery days]]&lt;=5,"Normal","Delayed")))</f>
        <v>Delayed</v>
      </c>
    </row>
    <row r="763" spans="1:16" x14ac:dyDescent="0.25">
      <c r="A763" t="s">
        <v>899</v>
      </c>
      <c r="B763" s="5">
        <v>45939</v>
      </c>
      <c r="C763" t="s">
        <v>155</v>
      </c>
      <c r="D763" t="s">
        <v>80</v>
      </c>
      <c r="E763" t="s">
        <v>77</v>
      </c>
      <c r="F763">
        <v>2</v>
      </c>
      <c r="G763" s="1">
        <v>145.5</v>
      </c>
      <c r="H763" s="1">
        <v>77.52</v>
      </c>
      <c r="I763" s="5">
        <v>45942</v>
      </c>
      <c r="J763" t="s">
        <v>46</v>
      </c>
      <c r="K763" t="s">
        <v>24</v>
      </c>
      <c r="L763" t="s">
        <v>25</v>
      </c>
      <c r="M763" s="1">
        <f>(orders[[#This Row],[Revenue]]-orders[[#This Row],[Cost]])</f>
        <v>67.98</v>
      </c>
      <c r="N763" s="8">
        <f>IFERROR(orders[[#This Row],[profit]]/orders[[#This Row],[Revenue]],0)</f>
        <v>0.46721649484536087</v>
      </c>
      <c r="O763">
        <f>IF(orders[[#This Row],[Delivery Date]]="","",(orders[[#This Row],[Delivery Date]]-orders[[#This Row],[Date]]))</f>
        <v>3</v>
      </c>
      <c r="P763" t="str">
        <f>IF(orders[[#This Row],[delivery days]]="","Not Delivered",IF(orders[[#This Row],[delivery days]]&lt;=2,"Fast",IF(orders[[#This Row],[delivery days]]&lt;=5,"Normal","Delayed")))</f>
        <v>Normal</v>
      </c>
    </row>
    <row r="764" spans="1:16" x14ac:dyDescent="0.25">
      <c r="A764" t="s">
        <v>900</v>
      </c>
      <c r="B764" s="5">
        <v>45939</v>
      </c>
      <c r="C764" t="s">
        <v>124</v>
      </c>
      <c r="D764" t="s">
        <v>100</v>
      </c>
      <c r="E764" t="s">
        <v>34</v>
      </c>
      <c r="F764">
        <v>5</v>
      </c>
      <c r="G764" s="1">
        <v>252.2</v>
      </c>
      <c r="H764" s="1">
        <v>117.3</v>
      </c>
      <c r="I764" s="5">
        <v>45945</v>
      </c>
      <c r="J764" t="s">
        <v>52</v>
      </c>
      <c r="K764" t="s">
        <v>47</v>
      </c>
      <c r="L764" t="s">
        <v>25</v>
      </c>
      <c r="M764" s="1">
        <f>(orders[[#This Row],[Revenue]]-orders[[#This Row],[Cost]])</f>
        <v>134.89999999999998</v>
      </c>
      <c r="N764" s="8">
        <f>IFERROR(orders[[#This Row],[profit]]/orders[[#This Row],[Revenue]],0)</f>
        <v>0.53489294210943694</v>
      </c>
      <c r="O764">
        <f>IF(orders[[#This Row],[Delivery Date]]="","",(orders[[#This Row],[Delivery Date]]-orders[[#This Row],[Date]]))</f>
        <v>6</v>
      </c>
      <c r="P764" t="str">
        <f>IF(orders[[#This Row],[delivery days]]="","Not Delivered",IF(orders[[#This Row],[delivery days]]&lt;=2,"Fast",IF(orders[[#This Row],[delivery days]]&lt;=5,"Normal","Delayed")))</f>
        <v>Delayed</v>
      </c>
    </row>
    <row r="765" spans="1:16" x14ac:dyDescent="0.25">
      <c r="A765" t="s">
        <v>901</v>
      </c>
      <c r="B765" s="5">
        <v>45939</v>
      </c>
      <c r="C765" t="s">
        <v>176</v>
      </c>
      <c r="D765" t="s">
        <v>219</v>
      </c>
      <c r="E765" t="s">
        <v>34</v>
      </c>
      <c r="F765">
        <v>3</v>
      </c>
      <c r="G765" s="1">
        <v>84</v>
      </c>
      <c r="H765" s="1">
        <v>33.659999999999997</v>
      </c>
      <c r="I765" s="5">
        <v>45940</v>
      </c>
      <c r="J765" t="s">
        <v>30</v>
      </c>
      <c r="K765" t="s">
        <v>35</v>
      </c>
      <c r="L765" t="s">
        <v>25</v>
      </c>
      <c r="M765" s="1">
        <f>(orders[[#This Row],[Revenue]]-orders[[#This Row],[Cost]])</f>
        <v>50.34</v>
      </c>
      <c r="N765" s="8">
        <f>IFERROR(orders[[#This Row],[profit]]/orders[[#This Row],[Revenue]],0)</f>
        <v>0.59928571428571431</v>
      </c>
      <c r="O765">
        <f>IF(orders[[#This Row],[Delivery Date]]="","",(orders[[#This Row],[Delivery Date]]-orders[[#This Row],[Date]]))</f>
        <v>1</v>
      </c>
      <c r="P765" t="str">
        <f>IF(orders[[#This Row],[delivery days]]="","Not Delivered",IF(orders[[#This Row],[delivery days]]&lt;=2,"Fast",IF(orders[[#This Row],[delivery days]]&lt;=5,"Normal","Delayed")))</f>
        <v>Fast</v>
      </c>
    </row>
    <row r="766" spans="1:16" x14ac:dyDescent="0.25">
      <c r="A766" t="s">
        <v>902</v>
      </c>
      <c r="B766" s="5">
        <v>45940</v>
      </c>
      <c r="C766" t="s">
        <v>325</v>
      </c>
      <c r="D766" t="s">
        <v>179</v>
      </c>
      <c r="E766" t="s">
        <v>34</v>
      </c>
      <c r="F766">
        <v>3</v>
      </c>
      <c r="G766" s="1">
        <v>130.94999999999999</v>
      </c>
      <c r="H766" s="1">
        <v>57</v>
      </c>
      <c r="I766" s="5">
        <v>45942</v>
      </c>
      <c r="J766" t="s">
        <v>30</v>
      </c>
      <c r="K766" t="s">
        <v>35</v>
      </c>
      <c r="L766" t="s">
        <v>25</v>
      </c>
      <c r="M766" s="1">
        <f>(orders[[#This Row],[Revenue]]-orders[[#This Row],[Cost]])</f>
        <v>73.949999999999989</v>
      </c>
      <c r="N766" s="8">
        <f>IFERROR(orders[[#This Row],[profit]]/orders[[#This Row],[Revenue]],0)</f>
        <v>0.56471935853379152</v>
      </c>
      <c r="O766">
        <f>IF(orders[[#This Row],[Delivery Date]]="","",(orders[[#This Row],[Delivery Date]]-orders[[#This Row],[Date]]))</f>
        <v>2</v>
      </c>
      <c r="P766" t="str">
        <f>IF(orders[[#This Row],[delivery days]]="","Not Delivered",IF(orders[[#This Row],[delivery days]]&lt;=2,"Fast",IF(orders[[#This Row],[delivery days]]&lt;=5,"Normal","Delayed")))</f>
        <v>Fast</v>
      </c>
    </row>
    <row r="767" spans="1:16" x14ac:dyDescent="0.25">
      <c r="A767" t="s">
        <v>903</v>
      </c>
      <c r="B767" s="5">
        <v>45940</v>
      </c>
      <c r="C767" t="s">
        <v>82</v>
      </c>
      <c r="D767" t="s">
        <v>270</v>
      </c>
      <c r="E767" t="s">
        <v>39</v>
      </c>
      <c r="F767">
        <v>2</v>
      </c>
      <c r="G767" s="1">
        <v>90</v>
      </c>
      <c r="H767" s="1">
        <v>44</v>
      </c>
      <c r="I767" s="5">
        <v>45943</v>
      </c>
      <c r="J767" t="s">
        <v>16</v>
      </c>
      <c r="K767" t="s">
        <v>35</v>
      </c>
      <c r="L767" t="s">
        <v>25</v>
      </c>
      <c r="M767" s="1">
        <f>(orders[[#This Row],[Revenue]]-orders[[#This Row],[Cost]])</f>
        <v>46</v>
      </c>
      <c r="N767" s="8">
        <f>IFERROR(orders[[#This Row],[profit]]/orders[[#This Row],[Revenue]],0)</f>
        <v>0.51111111111111107</v>
      </c>
      <c r="O767">
        <f>IF(orders[[#This Row],[Delivery Date]]="","",(orders[[#This Row],[Delivery Date]]-orders[[#This Row],[Date]]))</f>
        <v>3</v>
      </c>
      <c r="P767" t="str">
        <f>IF(orders[[#This Row],[delivery days]]="","Not Delivered",IF(orders[[#This Row],[delivery days]]&lt;=2,"Fast",IF(orders[[#This Row],[delivery days]]&lt;=5,"Normal","Delayed")))</f>
        <v>Normal</v>
      </c>
    </row>
    <row r="768" spans="1:16" x14ac:dyDescent="0.25">
      <c r="A768" t="s">
        <v>904</v>
      </c>
      <c r="B768" s="5">
        <v>45940</v>
      </c>
      <c r="C768" t="s">
        <v>96</v>
      </c>
      <c r="D768" t="s">
        <v>300</v>
      </c>
      <c r="E768" t="s">
        <v>77</v>
      </c>
      <c r="F768">
        <v>3</v>
      </c>
      <c r="G768" s="1">
        <v>1263.5999999999999</v>
      </c>
      <c r="H768" s="1">
        <v>735</v>
      </c>
      <c r="I768" s="5">
        <v>45944</v>
      </c>
      <c r="J768" t="s">
        <v>16</v>
      </c>
      <c r="K768" t="s">
        <v>17</v>
      </c>
      <c r="L768" t="s">
        <v>25</v>
      </c>
      <c r="M768" s="1">
        <f>(orders[[#This Row],[Revenue]]-orders[[#This Row],[Cost]])</f>
        <v>528.59999999999991</v>
      </c>
      <c r="N768" s="8">
        <f>IFERROR(orders[[#This Row],[profit]]/orders[[#This Row],[Revenue]],0)</f>
        <v>0.41832858499525161</v>
      </c>
      <c r="O768">
        <f>IF(orders[[#This Row],[Delivery Date]]="","",(orders[[#This Row],[Delivery Date]]-orders[[#This Row],[Date]]))</f>
        <v>4</v>
      </c>
      <c r="P768" t="str">
        <f>IF(orders[[#This Row],[delivery days]]="","Not Delivered",IF(orders[[#This Row],[delivery days]]&lt;=2,"Fast",IF(orders[[#This Row],[delivery days]]&lt;=5,"Normal","Delayed")))</f>
        <v>Normal</v>
      </c>
    </row>
    <row r="769" spans="1:16" x14ac:dyDescent="0.25">
      <c r="A769" t="s">
        <v>905</v>
      </c>
      <c r="B769" s="5">
        <v>45941</v>
      </c>
      <c r="C769" t="s">
        <v>75</v>
      </c>
      <c r="D769" t="s">
        <v>125</v>
      </c>
      <c r="E769" t="s">
        <v>62</v>
      </c>
      <c r="F769">
        <v>1</v>
      </c>
      <c r="G769" s="1">
        <v>145</v>
      </c>
      <c r="H769" s="1">
        <v>82</v>
      </c>
      <c r="I769" s="5">
        <v>45944</v>
      </c>
      <c r="J769" t="s">
        <v>23</v>
      </c>
      <c r="K769" t="s">
        <v>17</v>
      </c>
      <c r="L769" t="s">
        <v>25</v>
      </c>
      <c r="M769" s="1">
        <f>(orders[[#This Row],[Revenue]]-orders[[#This Row],[Cost]])</f>
        <v>63</v>
      </c>
      <c r="N769" s="8">
        <f>IFERROR(orders[[#This Row],[profit]]/orders[[#This Row],[Revenue]],0)</f>
        <v>0.43448275862068964</v>
      </c>
      <c r="O769">
        <f>IF(orders[[#This Row],[Delivery Date]]="","",(orders[[#This Row],[Delivery Date]]-orders[[#This Row],[Date]]))</f>
        <v>3</v>
      </c>
      <c r="P769" t="str">
        <f>IF(orders[[#This Row],[delivery days]]="","Not Delivered",IF(orders[[#This Row],[delivery days]]&lt;=2,"Fast",IF(orders[[#This Row],[delivery days]]&lt;=5,"Normal","Delayed")))</f>
        <v>Normal</v>
      </c>
    </row>
    <row r="770" spans="1:16" x14ac:dyDescent="0.25">
      <c r="A770" t="s">
        <v>906</v>
      </c>
      <c r="B770" s="5">
        <v>45941</v>
      </c>
      <c r="C770" t="s">
        <v>60</v>
      </c>
      <c r="D770" t="s">
        <v>159</v>
      </c>
      <c r="E770" t="s">
        <v>39</v>
      </c>
      <c r="F770">
        <v>2</v>
      </c>
      <c r="G770" s="1">
        <v>220</v>
      </c>
      <c r="H770" s="1">
        <v>124</v>
      </c>
      <c r="I770" s="5">
        <v>45944</v>
      </c>
      <c r="J770" t="s">
        <v>16</v>
      </c>
      <c r="K770" t="s">
        <v>17</v>
      </c>
      <c r="L770" t="s">
        <v>25</v>
      </c>
      <c r="M770" s="1">
        <f>(orders[[#This Row],[Revenue]]-orders[[#This Row],[Cost]])</f>
        <v>96</v>
      </c>
      <c r="N770" s="8">
        <f>IFERROR(orders[[#This Row],[profit]]/orders[[#This Row],[Revenue]],0)</f>
        <v>0.43636363636363634</v>
      </c>
      <c r="O770">
        <f>IF(orders[[#This Row],[Delivery Date]]="","",(orders[[#This Row],[Delivery Date]]-orders[[#This Row],[Date]]))</f>
        <v>3</v>
      </c>
      <c r="P770" t="str">
        <f>IF(orders[[#This Row],[delivery days]]="","Not Delivered",IF(orders[[#This Row],[delivery days]]&lt;=2,"Fast",IF(orders[[#This Row],[delivery days]]&lt;=5,"Normal","Delayed")))</f>
        <v>Normal</v>
      </c>
    </row>
    <row r="771" spans="1:16" x14ac:dyDescent="0.25">
      <c r="A771" t="s">
        <v>907</v>
      </c>
      <c r="B771" s="5">
        <v>45943</v>
      </c>
      <c r="C771" t="s">
        <v>161</v>
      </c>
      <c r="D771" t="s">
        <v>38</v>
      </c>
      <c r="E771" t="s">
        <v>39</v>
      </c>
      <c r="F771">
        <v>1</v>
      </c>
      <c r="G771" s="1">
        <v>850</v>
      </c>
      <c r="H771" s="1">
        <v>597.79999999999995</v>
      </c>
      <c r="I771" s="5">
        <v>45948</v>
      </c>
      <c r="J771" t="s">
        <v>16</v>
      </c>
      <c r="K771" t="s">
        <v>17</v>
      </c>
      <c r="L771" t="s">
        <v>25</v>
      </c>
      <c r="M771" s="1">
        <f>(orders[[#This Row],[Revenue]]-orders[[#This Row],[Cost]])</f>
        <v>252.20000000000005</v>
      </c>
      <c r="N771" s="8">
        <f>IFERROR(orders[[#This Row],[profit]]/orders[[#This Row],[Revenue]],0)</f>
        <v>0.29670588235294121</v>
      </c>
      <c r="O771">
        <f>IF(orders[[#This Row],[Delivery Date]]="","",(orders[[#This Row],[Delivery Date]]-orders[[#This Row],[Date]]))</f>
        <v>5</v>
      </c>
      <c r="P771" t="str">
        <f>IF(orders[[#This Row],[delivery days]]="","Not Delivered",IF(orders[[#This Row],[delivery days]]&lt;=2,"Fast",IF(orders[[#This Row],[delivery days]]&lt;=5,"Normal","Delayed")))</f>
        <v>Normal</v>
      </c>
    </row>
    <row r="772" spans="1:16" x14ac:dyDescent="0.25">
      <c r="A772" t="s">
        <v>908</v>
      </c>
      <c r="B772" s="5">
        <v>45944</v>
      </c>
      <c r="C772" t="s">
        <v>228</v>
      </c>
      <c r="D772" t="s">
        <v>289</v>
      </c>
      <c r="E772" t="s">
        <v>22</v>
      </c>
      <c r="F772">
        <v>3</v>
      </c>
      <c r="G772" s="1">
        <v>191.58</v>
      </c>
      <c r="H772" s="1">
        <v>85.26</v>
      </c>
      <c r="I772" s="5">
        <v>45949</v>
      </c>
      <c r="J772" t="s">
        <v>101</v>
      </c>
      <c r="K772" t="s">
        <v>35</v>
      </c>
      <c r="L772" t="s">
        <v>25</v>
      </c>
      <c r="M772" s="1">
        <f>(orders[[#This Row],[Revenue]]-orders[[#This Row],[Cost]])</f>
        <v>106.32000000000001</v>
      </c>
      <c r="N772" s="8">
        <f>IFERROR(orders[[#This Row],[profit]]/orders[[#This Row],[Revenue]],0)</f>
        <v>0.55496398371437516</v>
      </c>
      <c r="O772">
        <f>IF(orders[[#This Row],[Delivery Date]]="","",(orders[[#This Row],[Delivery Date]]-orders[[#This Row],[Date]]))</f>
        <v>5</v>
      </c>
      <c r="P772" t="str">
        <f>IF(orders[[#This Row],[delivery days]]="","Not Delivered",IF(orders[[#This Row],[delivery days]]&lt;=2,"Fast",IF(orders[[#This Row],[delivery days]]&lt;=5,"Normal","Delayed")))</f>
        <v>Normal</v>
      </c>
    </row>
    <row r="773" spans="1:16" x14ac:dyDescent="0.25">
      <c r="A773" t="s">
        <v>909</v>
      </c>
      <c r="B773" s="5">
        <v>45945</v>
      </c>
      <c r="C773" t="s">
        <v>82</v>
      </c>
      <c r="D773" t="s">
        <v>187</v>
      </c>
      <c r="E773" t="s">
        <v>15</v>
      </c>
      <c r="F773">
        <v>1</v>
      </c>
      <c r="G773" s="1">
        <v>35</v>
      </c>
      <c r="H773" s="1">
        <v>16.32</v>
      </c>
      <c r="I773" s="5">
        <v>45946</v>
      </c>
      <c r="J773" t="s">
        <v>30</v>
      </c>
      <c r="K773" t="s">
        <v>17</v>
      </c>
      <c r="L773" t="s">
        <v>25</v>
      </c>
      <c r="M773" s="1">
        <f>(orders[[#This Row],[Revenue]]-orders[[#This Row],[Cost]])</f>
        <v>18.68</v>
      </c>
      <c r="N773" s="8">
        <f>IFERROR(orders[[#This Row],[profit]]/orders[[#This Row],[Revenue]],0)</f>
        <v>0.5337142857142857</v>
      </c>
      <c r="O773">
        <f>IF(orders[[#This Row],[Delivery Date]]="","",(orders[[#This Row],[Delivery Date]]-orders[[#This Row],[Date]]))</f>
        <v>1</v>
      </c>
      <c r="P773" t="str">
        <f>IF(orders[[#This Row],[delivery days]]="","Not Delivered",IF(orders[[#This Row],[delivery days]]&lt;=2,"Fast",IF(orders[[#This Row],[delivery days]]&lt;=5,"Normal","Delayed")))</f>
        <v>Fast</v>
      </c>
    </row>
    <row r="774" spans="1:16" x14ac:dyDescent="0.25">
      <c r="A774" t="s">
        <v>910</v>
      </c>
      <c r="B774" s="5">
        <v>45945</v>
      </c>
      <c r="C774" t="s">
        <v>382</v>
      </c>
      <c r="D774" t="s">
        <v>55</v>
      </c>
      <c r="E774" t="s">
        <v>39</v>
      </c>
      <c r="F774">
        <v>1</v>
      </c>
      <c r="G774" s="1">
        <v>386.4</v>
      </c>
      <c r="H774" s="1">
        <v>275</v>
      </c>
      <c r="I774" s="5">
        <v>45947</v>
      </c>
      <c r="J774" t="s">
        <v>16</v>
      </c>
      <c r="K774" t="s">
        <v>35</v>
      </c>
      <c r="L774" t="s">
        <v>25</v>
      </c>
      <c r="M774" s="1">
        <f>(orders[[#This Row],[Revenue]]-orders[[#This Row],[Cost]])</f>
        <v>111.39999999999998</v>
      </c>
      <c r="N774" s="8">
        <f>IFERROR(orders[[#This Row],[profit]]/orders[[#This Row],[Revenue]],0)</f>
        <v>0.2883022774327122</v>
      </c>
      <c r="O774">
        <f>IF(orders[[#This Row],[Delivery Date]]="","",(orders[[#This Row],[Delivery Date]]-orders[[#This Row],[Date]]))</f>
        <v>2</v>
      </c>
      <c r="P774" t="str">
        <f>IF(orders[[#This Row],[delivery days]]="","Not Delivered",IF(orders[[#This Row],[delivery days]]&lt;=2,"Fast",IF(orders[[#This Row],[delivery days]]&lt;=5,"Normal","Delayed")))</f>
        <v>Fast</v>
      </c>
    </row>
    <row r="775" spans="1:16" x14ac:dyDescent="0.25">
      <c r="A775" t="s">
        <v>911</v>
      </c>
      <c r="B775" s="5">
        <v>45946</v>
      </c>
      <c r="C775" t="s">
        <v>487</v>
      </c>
      <c r="D775" t="s">
        <v>129</v>
      </c>
      <c r="E775" t="s">
        <v>39</v>
      </c>
      <c r="F775">
        <v>2</v>
      </c>
      <c r="G775" s="1">
        <v>247.2</v>
      </c>
      <c r="H775" s="1">
        <v>136</v>
      </c>
      <c r="I775" s="5">
        <v>45950</v>
      </c>
      <c r="J775" t="s">
        <v>30</v>
      </c>
      <c r="K775" t="s">
        <v>17</v>
      </c>
      <c r="L775" t="s">
        <v>25</v>
      </c>
      <c r="M775" s="1">
        <f>(orders[[#This Row],[Revenue]]-orders[[#This Row],[Cost]])</f>
        <v>111.19999999999999</v>
      </c>
      <c r="N775" s="8">
        <f>IFERROR(orders[[#This Row],[profit]]/orders[[#This Row],[Revenue]],0)</f>
        <v>0.44983818770226536</v>
      </c>
      <c r="O775">
        <f>IF(orders[[#This Row],[Delivery Date]]="","",(orders[[#This Row],[Delivery Date]]-orders[[#This Row],[Date]]))</f>
        <v>4</v>
      </c>
      <c r="P775" t="str">
        <f>IF(orders[[#This Row],[delivery days]]="","Not Delivered",IF(orders[[#This Row],[delivery days]]&lt;=2,"Fast",IF(orders[[#This Row],[delivery days]]&lt;=5,"Normal","Delayed")))</f>
        <v>Normal</v>
      </c>
    </row>
    <row r="776" spans="1:16" x14ac:dyDescent="0.25">
      <c r="A776" t="s">
        <v>912</v>
      </c>
      <c r="B776" s="5">
        <v>45946</v>
      </c>
      <c r="C776" t="s">
        <v>259</v>
      </c>
      <c r="D776" t="s">
        <v>135</v>
      </c>
      <c r="E776" t="s">
        <v>62</v>
      </c>
      <c r="F776">
        <v>1</v>
      </c>
      <c r="G776" s="1">
        <v>105.8</v>
      </c>
      <c r="H776" s="1">
        <v>63</v>
      </c>
      <c r="I776" s="5">
        <v>45947</v>
      </c>
      <c r="J776" t="s">
        <v>30</v>
      </c>
      <c r="K776" t="s">
        <v>35</v>
      </c>
      <c r="L776" t="s">
        <v>25</v>
      </c>
      <c r="M776" s="1">
        <f>(orders[[#This Row],[Revenue]]-orders[[#This Row],[Cost]])</f>
        <v>42.8</v>
      </c>
      <c r="N776" s="8">
        <f>IFERROR(orders[[#This Row],[profit]]/orders[[#This Row],[Revenue]],0)</f>
        <v>0.4045368620037807</v>
      </c>
      <c r="O776">
        <f>IF(orders[[#This Row],[Delivery Date]]="","",(orders[[#This Row],[Delivery Date]]-orders[[#This Row],[Date]]))</f>
        <v>1</v>
      </c>
      <c r="P776" t="str">
        <f>IF(orders[[#This Row],[delivery days]]="","Not Delivered",IF(orders[[#This Row],[delivery days]]&lt;=2,"Fast",IF(orders[[#This Row],[delivery days]]&lt;=5,"Normal","Delayed")))</f>
        <v>Fast</v>
      </c>
    </row>
    <row r="777" spans="1:16" x14ac:dyDescent="0.25">
      <c r="A777" t="s">
        <v>913</v>
      </c>
      <c r="B777" s="5">
        <v>45946</v>
      </c>
      <c r="C777" t="s">
        <v>44</v>
      </c>
      <c r="D777" t="s">
        <v>58</v>
      </c>
      <c r="E777" t="s">
        <v>39</v>
      </c>
      <c r="F777">
        <v>1</v>
      </c>
      <c r="G777" s="1">
        <v>1250</v>
      </c>
      <c r="H777" s="1">
        <v>882</v>
      </c>
      <c r="I777" s="5">
        <v>45950</v>
      </c>
      <c r="J777" t="s">
        <v>16</v>
      </c>
      <c r="K777" t="s">
        <v>17</v>
      </c>
      <c r="L777" t="s">
        <v>25</v>
      </c>
      <c r="M777" s="1">
        <f>(orders[[#This Row],[Revenue]]-orders[[#This Row],[Cost]])</f>
        <v>368</v>
      </c>
      <c r="N777" s="8">
        <f>IFERROR(orders[[#This Row],[profit]]/orders[[#This Row],[Revenue]],0)</f>
        <v>0.2944</v>
      </c>
      <c r="O777">
        <f>IF(orders[[#This Row],[Delivery Date]]="","",(orders[[#This Row],[Delivery Date]]-orders[[#This Row],[Date]]))</f>
        <v>4</v>
      </c>
      <c r="P777" t="str">
        <f>IF(orders[[#This Row],[delivery days]]="","Not Delivered",IF(orders[[#This Row],[delivery days]]&lt;=2,"Fast",IF(orders[[#This Row],[delivery days]]&lt;=5,"Normal","Delayed")))</f>
        <v>Normal</v>
      </c>
    </row>
    <row r="778" spans="1:16" x14ac:dyDescent="0.25">
      <c r="A778" t="s">
        <v>914</v>
      </c>
      <c r="B778" s="5">
        <v>45947</v>
      </c>
      <c r="C778" t="s">
        <v>181</v>
      </c>
      <c r="D778" t="s">
        <v>76</v>
      </c>
      <c r="E778" t="s">
        <v>77</v>
      </c>
      <c r="F778">
        <v>2</v>
      </c>
      <c r="G778" s="1">
        <v>535.6</v>
      </c>
      <c r="H778" s="1">
        <v>330</v>
      </c>
      <c r="I778" s="5"/>
      <c r="J778" t="s">
        <v>46</v>
      </c>
      <c r="K778" t="s">
        <v>47</v>
      </c>
      <c r="L778" t="s">
        <v>42</v>
      </c>
      <c r="M778" s="1">
        <f>(orders[[#This Row],[Revenue]]-orders[[#This Row],[Cost]])</f>
        <v>205.60000000000002</v>
      </c>
      <c r="N778" s="8">
        <f>IFERROR(orders[[#This Row],[profit]]/orders[[#This Row],[Revenue]],0)</f>
        <v>0.38386855862584018</v>
      </c>
      <c r="O778" t="str">
        <f>IF(orders[[#This Row],[Delivery Date]]="","",(orders[[#This Row],[Delivery Date]]-orders[[#This Row],[Date]]))</f>
        <v/>
      </c>
      <c r="P778" t="str">
        <f>IF(orders[[#This Row],[delivery days]]="","Not Delivered",IF(orders[[#This Row],[delivery days]]&lt;=2,"Fast",IF(orders[[#This Row],[delivery days]]&lt;=5,"Normal","Delayed")))</f>
        <v>Not Delivered</v>
      </c>
    </row>
    <row r="779" spans="1:16" x14ac:dyDescent="0.25">
      <c r="A779" t="s">
        <v>915</v>
      </c>
      <c r="B779" s="5">
        <v>45947</v>
      </c>
      <c r="C779" t="s">
        <v>228</v>
      </c>
      <c r="D779" t="s">
        <v>270</v>
      </c>
      <c r="E779" t="s">
        <v>39</v>
      </c>
      <c r="F779">
        <v>2</v>
      </c>
      <c r="G779" s="1">
        <v>90</v>
      </c>
      <c r="H779" s="1">
        <v>44</v>
      </c>
      <c r="I779" s="5">
        <v>45951</v>
      </c>
      <c r="J779" t="s">
        <v>16</v>
      </c>
      <c r="K779" t="s">
        <v>17</v>
      </c>
      <c r="L779" t="s">
        <v>25</v>
      </c>
      <c r="M779" s="1">
        <f>(orders[[#This Row],[Revenue]]-orders[[#This Row],[Cost]])</f>
        <v>46</v>
      </c>
      <c r="N779" s="8">
        <f>IFERROR(orders[[#This Row],[profit]]/orders[[#This Row],[Revenue]],0)</f>
        <v>0.51111111111111107</v>
      </c>
      <c r="O779">
        <f>IF(orders[[#This Row],[Delivery Date]]="","",(orders[[#This Row],[Delivery Date]]-orders[[#This Row],[Date]]))</f>
        <v>4</v>
      </c>
      <c r="P779" t="str">
        <f>IF(orders[[#This Row],[delivery days]]="","Not Delivered",IF(orders[[#This Row],[delivery days]]&lt;=2,"Fast",IF(orders[[#This Row],[delivery days]]&lt;=5,"Normal","Delayed")))</f>
        <v>Normal</v>
      </c>
    </row>
    <row r="780" spans="1:16" x14ac:dyDescent="0.25">
      <c r="A780" t="s">
        <v>916</v>
      </c>
      <c r="B780" s="5">
        <v>45947</v>
      </c>
      <c r="C780" t="s">
        <v>269</v>
      </c>
      <c r="D780" t="s">
        <v>108</v>
      </c>
      <c r="E780" t="s">
        <v>22</v>
      </c>
      <c r="F780">
        <v>1</v>
      </c>
      <c r="G780" s="1">
        <v>95</v>
      </c>
      <c r="H780" s="1">
        <v>42</v>
      </c>
      <c r="I780" s="5">
        <v>45953</v>
      </c>
      <c r="J780" t="s">
        <v>16</v>
      </c>
      <c r="K780" t="s">
        <v>17</v>
      </c>
      <c r="L780" t="s">
        <v>25</v>
      </c>
      <c r="M780" s="1">
        <f>(orders[[#This Row],[Revenue]]-orders[[#This Row],[Cost]])</f>
        <v>53</v>
      </c>
      <c r="N780" s="8">
        <f>IFERROR(orders[[#This Row],[profit]]/orders[[#This Row],[Revenue]],0)</f>
        <v>0.55789473684210522</v>
      </c>
      <c r="O780">
        <f>IF(orders[[#This Row],[Delivery Date]]="","",(orders[[#This Row],[Delivery Date]]-orders[[#This Row],[Date]]))</f>
        <v>6</v>
      </c>
      <c r="P780" t="str">
        <f>IF(orders[[#This Row],[delivery days]]="","Not Delivered",IF(orders[[#This Row],[delivery days]]&lt;=2,"Fast",IF(orders[[#This Row],[delivery days]]&lt;=5,"Normal","Delayed")))</f>
        <v>Delayed</v>
      </c>
    </row>
    <row r="781" spans="1:16" x14ac:dyDescent="0.25">
      <c r="A781" t="s">
        <v>917</v>
      </c>
      <c r="B781" s="5">
        <v>45947</v>
      </c>
      <c r="C781" t="s">
        <v>20</v>
      </c>
      <c r="D781" t="s">
        <v>14</v>
      </c>
      <c r="E781" t="s">
        <v>15</v>
      </c>
      <c r="F781">
        <v>1</v>
      </c>
      <c r="G781" s="1">
        <v>23</v>
      </c>
      <c r="H781" s="1">
        <v>9</v>
      </c>
      <c r="I781" s="5"/>
      <c r="J781" t="s">
        <v>101</v>
      </c>
      <c r="K781" t="s">
        <v>35</v>
      </c>
      <c r="L781" t="s">
        <v>42</v>
      </c>
      <c r="M781" s="1">
        <f>(orders[[#This Row],[Revenue]]-orders[[#This Row],[Cost]])</f>
        <v>14</v>
      </c>
      <c r="N781" s="8">
        <f>IFERROR(orders[[#This Row],[profit]]/orders[[#This Row],[Revenue]],0)</f>
        <v>0.60869565217391308</v>
      </c>
      <c r="O781" t="str">
        <f>IF(orders[[#This Row],[Delivery Date]]="","",(orders[[#This Row],[Delivery Date]]-orders[[#This Row],[Date]]))</f>
        <v/>
      </c>
      <c r="P781" t="str">
        <f>IF(orders[[#This Row],[delivery days]]="","Not Delivered",IF(orders[[#This Row],[delivery days]]&lt;=2,"Fast",IF(orders[[#This Row],[delivery days]]&lt;=5,"Normal","Delayed")))</f>
        <v>Not Delivered</v>
      </c>
    </row>
    <row r="782" spans="1:16" x14ac:dyDescent="0.25">
      <c r="A782" t="s">
        <v>918</v>
      </c>
      <c r="B782" s="5">
        <v>45948</v>
      </c>
      <c r="C782" t="s">
        <v>90</v>
      </c>
      <c r="D782" t="s">
        <v>58</v>
      </c>
      <c r="E782" t="s">
        <v>39</v>
      </c>
      <c r="F782">
        <v>2</v>
      </c>
      <c r="G782" s="1">
        <v>2300</v>
      </c>
      <c r="H782" s="1">
        <v>1800</v>
      </c>
      <c r="I782" s="5">
        <v>45950</v>
      </c>
      <c r="J782" t="s">
        <v>30</v>
      </c>
      <c r="K782" t="s">
        <v>17</v>
      </c>
      <c r="L782" t="s">
        <v>25</v>
      </c>
      <c r="M782" s="1">
        <f>(orders[[#This Row],[Revenue]]-orders[[#This Row],[Cost]])</f>
        <v>500</v>
      </c>
      <c r="N782" s="8">
        <f>IFERROR(orders[[#This Row],[profit]]/orders[[#This Row],[Revenue]],0)</f>
        <v>0.21739130434782608</v>
      </c>
      <c r="O782">
        <f>IF(orders[[#This Row],[Delivery Date]]="","",(orders[[#This Row],[Delivery Date]]-orders[[#This Row],[Date]]))</f>
        <v>2</v>
      </c>
      <c r="P782" t="str">
        <f>IF(orders[[#This Row],[delivery days]]="","Not Delivered",IF(orders[[#This Row],[delivery days]]&lt;=2,"Fast",IF(orders[[#This Row],[delivery days]]&lt;=5,"Normal","Delayed")))</f>
        <v>Fast</v>
      </c>
    </row>
    <row r="783" spans="1:16" x14ac:dyDescent="0.25">
      <c r="A783" t="s">
        <v>919</v>
      </c>
      <c r="B783" s="5">
        <v>45948</v>
      </c>
      <c r="C783" t="s">
        <v>20</v>
      </c>
      <c r="D783" t="s">
        <v>58</v>
      </c>
      <c r="E783" t="s">
        <v>39</v>
      </c>
      <c r="F783">
        <v>1</v>
      </c>
      <c r="G783" s="1">
        <v>1250</v>
      </c>
      <c r="H783" s="1">
        <v>900</v>
      </c>
      <c r="I783" s="5">
        <v>45950</v>
      </c>
      <c r="J783" t="s">
        <v>30</v>
      </c>
      <c r="K783" t="s">
        <v>17</v>
      </c>
      <c r="L783" t="s">
        <v>25</v>
      </c>
      <c r="M783" s="1">
        <f>(orders[[#This Row],[Revenue]]-orders[[#This Row],[Cost]])</f>
        <v>350</v>
      </c>
      <c r="N783" s="8">
        <f>IFERROR(orders[[#This Row],[profit]]/orders[[#This Row],[Revenue]],0)</f>
        <v>0.28000000000000003</v>
      </c>
      <c r="O783">
        <f>IF(orders[[#This Row],[Delivery Date]]="","",(orders[[#This Row],[Delivery Date]]-orders[[#This Row],[Date]]))</f>
        <v>2</v>
      </c>
      <c r="P783" t="str">
        <f>IF(orders[[#This Row],[delivery days]]="","Not Delivered",IF(orders[[#This Row],[delivery days]]&lt;=2,"Fast",IF(orders[[#This Row],[delivery days]]&lt;=5,"Normal","Delayed")))</f>
        <v>Fast</v>
      </c>
    </row>
    <row r="784" spans="1:16" x14ac:dyDescent="0.25">
      <c r="A784" t="s">
        <v>920</v>
      </c>
      <c r="B784" s="5">
        <v>45948</v>
      </c>
      <c r="C784" t="s">
        <v>13</v>
      </c>
      <c r="D784" t="s">
        <v>83</v>
      </c>
      <c r="E784" t="s">
        <v>15</v>
      </c>
      <c r="F784">
        <v>2</v>
      </c>
      <c r="G784" s="1">
        <v>150</v>
      </c>
      <c r="H784" s="1">
        <v>76.44</v>
      </c>
      <c r="I784" s="5"/>
      <c r="J784" t="s">
        <v>30</v>
      </c>
      <c r="K784" t="s">
        <v>17</v>
      </c>
      <c r="L784" t="s">
        <v>103</v>
      </c>
      <c r="M784" s="1">
        <f>(orders[[#This Row],[Revenue]]-orders[[#This Row],[Cost]])</f>
        <v>73.56</v>
      </c>
      <c r="N784" s="8">
        <f>IFERROR(orders[[#This Row],[profit]]/orders[[#This Row],[Revenue]],0)</f>
        <v>0.4904</v>
      </c>
      <c r="O784" t="str">
        <f>IF(orders[[#This Row],[Delivery Date]]="","",(orders[[#This Row],[Delivery Date]]-orders[[#This Row],[Date]]))</f>
        <v/>
      </c>
      <c r="P784" t="str">
        <f>IF(orders[[#This Row],[delivery days]]="","Not Delivered",IF(orders[[#This Row],[delivery days]]&lt;=2,"Fast",IF(orders[[#This Row],[delivery days]]&lt;=5,"Normal","Delayed")))</f>
        <v>Not Delivered</v>
      </c>
    </row>
    <row r="785" spans="1:16" x14ac:dyDescent="0.25">
      <c r="A785" t="s">
        <v>921</v>
      </c>
      <c r="B785" s="5">
        <v>45949</v>
      </c>
      <c r="C785" t="s">
        <v>121</v>
      </c>
      <c r="D785" t="s">
        <v>135</v>
      </c>
      <c r="E785" t="s">
        <v>62</v>
      </c>
      <c r="F785">
        <v>1</v>
      </c>
      <c r="G785" s="1">
        <v>115</v>
      </c>
      <c r="H785" s="1">
        <v>63</v>
      </c>
      <c r="I785" s="5">
        <v>45951</v>
      </c>
      <c r="J785" t="s">
        <v>16</v>
      </c>
      <c r="K785" t="s">
        <v>17</v>
      </c>
      <c r="L785" t="s">
        <v>25</v>
      </c>
      <c r="M785" s="1">
        <f>(orders[[#This Row],[Revenue]]-orders[[#This Row],[Cost]])</f>
        <v>52</v>
      </c>
      <c r="N785" s="8">
        <f>IFERROR(orders[[#This Row],[profit]]/orders[[#This Row],[Revenue]],0)</f>
        <v>0.45217391304347826</v>
      </c>
      <c r="O785">
        <f>IF(orders[[#This Row],[Delivery Date]]="","",(orders[[#This Row],[Delivery Date]]-orders[[#This Row],[Date]]))</f>
        <v>2</v>
      </c>
      <c r="P785" t="str">
        <f>IF(orders[[#This Row],[delivery days]]="","Not Delivered",IF(orders[[#This Row],[delivery days]]&lt;=2,"Fast",IF(orders[[#This Row],[delivery days]]&lt;=5,"Normal","Delayed")))</f>
        <v>Fast</v>
      </c>
    </row>
    <row r="786" spans="1:16" x14ac:dyDescent="0.25">
      <c r="A786" t="s">
        <v>922</v>
      </c>
      <c r="B786" s="5">
        <v>45949</v>
      </c>
      <c r="C786" t="s">
        <v>27</v>
      </c>
      <c r="D786" t="s">
        <v>55</v>
      </c>
      <c r="E786" t="s">
        <v>39</v>
      </c>
      <c r="F786">
        <v>1</v>
      </c>
      <c r="G786" s="1">
        <v>420</v>
      </c>
      <c r="H786" s="1">
        <v>275</v>
      </c>
      <c r="I786" s="5"/>
      <c r="J786" t="s">
        <v>16</v>
      </c>
      <c r="K786" t="s">
        <v>35</v>
      </c>
      <c r="L786" t="s">
        <v>103</v>
      </c>
      <c r="M786" s="1">
        <f>(orders[[#This Row],[Revenue]]-orders[[#This Row],[Cost]])</f>
        <v>145</v>
      </c>
      <c r="N786" s="8">
        <f>IFERROR(orders[[#This Row],[profit]]/orders[[#This Row],[Revenue]],0)</f>
        <v>0.34523809523809523</v>
      </c>
      <c r="O786" t="str">
        <f>IF(orders[[#This Row],[Delivery Date]]="","",(orders[[#This Row],[Delivery Date]]-orders[[#This Row],[Date]]))</f>
        <v/>
      </c>
      <c r="P786" t="str">
        <f>IF(orders[[#This Row],[delivery days]]="","Not Delivered",IF(orders[[#This Row],[delivery days]]&lt;=2,"Fast",IF(orders[[#This Row],[delivery days]]&lt;=5,"Normal","Delayed")))</f>
        <v>Not Delivered</v>
      </c>
    </row>
    <row r="787" spans="1:16" x14ac:dyDescent="0.25">
      <c r="A787" t="s">
        <v>923</v>
      </c>
      <c r="B787" s="5">
        <v>45950</v>
      </c>
      <c r="C787" t="s">
        <v>57</v>
      </c>
      <c r="D787" t="s">
        <v>65</v>
      </c>
      <c r="E787" t="s">
        <v>62</v>
      </c>
      <c r="F787">
        <v>2</v>
      </c>
      <c r="G787" s="1">
        <v>96</v>
      </c>
      <c r="H787" s="1">
        <v>42</v>
      </c>
      <c r="I787" s="5">
        <v>45954</v>
      </c>
      <c r="J787" t="s">
        <v>16</v>
      </c>
      <c r="K787" t="s">
        <v>17</v>
      </c>
      <c r="L787" t="s">
        <v>25</v>
      </c>
      <c r="M787" s="1">
        <f>(orders[[#This Row],[Revenue]]-orders[[#This Row],[Cost]])</f>
        <v>54</v>
      </c>
      <c r="N787" s="8">
        <f>IFERROR(orders[[#This Row],[profit]]/orders[[#This Row],[Revenue]],0)</f>
        <v>0.5625</v>
      </c>
      <c r="O787">
        <f>IF(orders[[#This Row],[Delivery Date]]="","",(orders[[#This Row],[Delivery Date]]-orders[[#This Row],[Date]]))</f>
        <v>4</v>
      </c>
      <c r="P787" t="str">
        <f>IF(orders[[#This Row],[delivery days]]="","Not Delivered",IF(orders[[#This Row],[delivery days]]&lt;=2,"Fast",IF(orders[[#This Row],[delivery days]]&lt;=5,"Normal","Delayed")))</f>
        <v>Normal</v>
      </c>
    </row>
    <row r="788" spans="1:16" x14ac:dyDescent="0.25">
      <c r="A788" t="s">
        <v>924</v>
      </c>
      <c r="B788" s="5">
        <v>45950</v>
      </c>
      <c r="C788" t="s">
        <v>222</v>
      </c>
      <c r="D788" t="s">
        <v>83</v>
      </c>
      <c r="E788" t="s">
        <v>15</v>
      </c>
      <c r="F788">
        <v>1</v>
      </c>
      <c r="G788" s="1">
        <v>69</v>
      </c>
      <c r="H788" s="1">
        <v>39</v>
      </c>
      <c r="I788" s="5">
        <v>45955</v>
      </c>
      <c r="J788" t="s">
        <v>46</v>
      </c>
      <c r="K788" t="s">
        <v>47</v>
      </c>
      <c r="L788" t="s">
        <v>25</v>
      </c>
      <c r="M788" s="1">
        <f>(orders[[#This Row],[Revenue]]-orders[[#This Row],[Cost]])</f>
        <v>30</v>
      </c>
      <c r="N788" s="8">
        <f>IFERROR(orders[[#This Row],[profit]]/orders[[#This Row],[Revenue]],0)</f>
        <v>0.43478260869565216</v>
      </c>
      <c r="O788">
        <f>IF(orders[[#This Row],[Delivery Date]]="","",(orders[[#This Row],[Delivery Date]]-orders[[#This Row],[Date]]))</f>
        <v>5</v>
      </c>
      <c r="P788" t="str">
        <f>IF(orders[[#This Row],[delivery days]]="","Not Delivered",IF(orders[[#This Row],[delivery days]]&lt;=2,"Fast",IF(orders[[#This Row],[delivery days]]&lt;=5,"Normal","Delayed")))</f>
        <v>Normal</v>
      </c>
    </row>
    <row r="789" spans="1:16" x14ac:dyDescent="0.25">
      <c r="A789" t="s">
        <v>925</v>
      </c>
      <c r="B789" s="5">
        <v>45950</v>
      </c>
      <c r="C789" t="s">
        <v>487</v>
      </c>
      <c r="D789" t="s">
        <v>100</v>
      </c>
      <c r="E789" t="s">
        <v>34</v>
      </c>
      <c r="F789">
        <v>2</v>
      </c>
      <c r="G789" s="1">
        <v>104</v>
      </c>
      <c r="H789" s="1">
        <v>46</v>
      </c>
      <c r="I789" s="5">
        <v>45952</v>
      </c>
      <c r="J789" t="s">
        <v>16</v>
      </c>
      <c r="K789" t="s">
        <v>35</v>
      </c>
      <c r="L789" t="s">
        <v>25</v>
      </c>
      <c r="M789" s="1">
        <f>(orders[[#This Row],[Revenue]]-orders[[#This Row],[Cost]])</f>
        <v>58</v>
      </c>
      <c r="N789" s="8">
        <f>IFERROR(orders[[#This Row],[profit]]/orders[[#This Row],[Revenue]],0)</f>
        <v>0.55769230769230771</v>
      </c>
      <c r="O789">
        <f>IF(orders[[#This Row],[Delivery Date]]="","",(orders[[#This Row],[Delivery Date]]-orders[[#This Row],[Date]]))</f>
        <v>2</v>
      </c>
      <c r="P789" t="str">
        <f>IF(orders[[#This Row],[delivery days]]="","Not Delivered",IF(orders[[#This Row],[delivery days]]&lt;=2,"Fast",IF(orders[[#This Row],[delivery days]]&lt;=5,"Normal","Delayed")))</f>
        <v>Fast</v>
      </c>
    </row>
    <row r="790" spans="1:16" x14ac:dyDescent="0.25">
      <c r="A790" t="s">
        <v>926</v>
      </c>
      <c r="B790" s="5">
        <v>45950</v>
      </c>
      <c r="C790" t="s">
        <v>142</v>
      </c>
      <c r="D790" t="s">
        <v>266</v>
      </c>
      <c r="E790" t="s">
        <v>22</v>
      </c>
      <c r="F790">
        <v>2</v>
      </c>
      <c r="G790" s="1">
        <v>33.119999999999997</v>
      </c>
      <c r="H790" s="1">
        <v>14</v>
      </c>
      <c r="I790" s="5">
        <v>45953</v>
      </c>
      <c r="J790" t="s">
        <v>30</v>
      </c>
      <c r="K790" t="s">
        <v>17</v>
      </c>
      <c r="L790" t="s">
        <v>25</v>
      </c>
      <c r="M790" s="1">
        <f>(orders[[#This Row],[Revenue]]-orders[[#This Row],[Cost]])</f>
        <v>19.119999999999997</v>
      </c>
      <c r="N790" s="8">
        <f>IFERROR(orders[[#This Row],[profit]]/orders[[#This Row],[Revenue]],0)</f>
        <v>0.57729468599033817</v>
      </c>
      <c r="O790">
        <f>IF(orders[[#This Row],[Delivery Date]]="","",(orders[[#This Row],[Delivery Date]]-orders[[#This Row],[Date]]))</f>
        <v>3</v>
      </c>
      <c r="P790" t="str">
        <f>IF(orders[[#This Row],[delivery days]]="","Not Delivered",IF(orders[[#This Row],[delivery days]]&lt;=2,"Fast",IF(orders[[#This Row],[delivery days]]&lt;=5,"Normal","Delayed")))</f>
        <v>Normal</v>
      </c>
    </row>
    <row r="791" spans="1:16" x14ac:dyDescent="0.25">
      <c r="A791" t="s">
        <v>927</v>
      </c>
      <c r="B791" s="5">
        <v>45950</v>
      </c>
      <c r="C791" t="s">
        <v>49</v>
      </c>
      <c r="D791" t="s">
        <v>163</v>
      </c>
      <c r="E791" t="s">
        <v>39</v>
      </c>
      <c r="F791">
        <v>1</v>
      </c>
      <c r="G791" s="1">
        <v>97.85</v>
      </c>
      <c r="H791" s="1">
        <v>52</v>
      </c>
      <c r="I791" s="5">
        <v>45951</v>
      </c>
      <c r="J791" t="s">
        <v>16</v>
      </c>
      <c r="K791" t="s">
        <v>35</v>
      </c>
      <c r="L791" t="s">
        <v>25</v>
      </c>
      <c r="M791" s="1">
        <f>(orders[[#This Row],[Revenue]]-orders[[#This Row],[Cost]])</f>
        <v>45.849999999999994</v>
      </c>
      <c r="N791" s="8">
        <f>IFERROR(orders[[#This Row],[profit]]/orders[[#This Row],[Revenue]],0)</f>
        <v>0.46857434849259066</v>
      </c>
      <c r="O791">
        <f>IF(orders[[#This Row],[Delivery Date]]="","",(orders[[#This Row],[Delivery Date]]-orders[[#This Row],[Date]]))</f>
        <v>1</v>
      </c>
      <c r="P791" t="str">
        <f>IF(orders[[#This Row],[delivery days]]="","Not Delivered",IF(orders[[#This Row],[delivery days]]&lt;=2,"Fast",IF(orders[[#This Row],[delivery days]]&lt;=5,"Normal","Delayed")))</f>
        <v>Fast</v>
      </c>
    </row>
    <row r="792" spans="1:16" x14ac:dyDescent="0.25">
      <c r="A792" t="s">
        <v>928</v>
      </c>
      <c r="B792" s="5">
        <v>45950</v>
      </c>
      <c r="C792" t="s">
        <v>79</v>
      </c>
      <c r="D792" t="s">
        <v>159</v>
      </c>
      <c r="E792" t="s">
        <v>39</v>
      </c>
      <c r="F792">
        <v>2</v>
      </c>
      <c r="G792" s="1">
        <v>220</v>
      </c>
      <c r="H792" s="1">
        <v>124</v>
      </c>
      <c r="I792" s="5">
        <v>45951</v>
      </c>
      <c r="J792" t="s">
        <v>30</v>
      </c>
      <c r="K792" t="s">
        <v>35</v>
      </c>
      <c r="L792" t="s">
        <v>25</v>
      </c>
      <c r="M792" s="1">
        <f>(orders[[#This Row],[Revenue]]-orders[[#This Row],[Cost]])</f>
        <v>96</v>
      </c>
      <c r="N792" s="8">
        <f>IFERROR(orders[[#This Row],[profit]]/orders[[#This Row],[Revenue]],0)</f>
        <v>0.43636363636363634</v>
      </c>
      <c r="O792">
        <f>IF(orders[[#This Row],[Delivery Date]]="","",(orders[[#This Row],[Delivery Date]]-orders[[#This Row],[Date]]))</f>
        <v>1</v>
      </c>
      <c r="P792" t="str">
        <f>IF(orders[[#This Row],[delivery days]]="","Not Delivered",IF(orders[[#This Row],[delivery days]]&lt;=2,"Fast",IF(orders[[#This Row],[delivery days]]&lt;=5,"Normal","Delayed")))</f>
        <v>Fast</v>
      </c>
    </row>
    <row r="793" spans="1:16" x14ac:dyDescent="0.25">
      <c r="A793" t="s">
        <v>929</v>
      </c>
      <c r="B793" s="5">
        <v>45951</v>
      </c>
      <c r="C793" t="s">
        <v>121</v>
      </c>
      <c r="D793" t="s">
        <v>224</v>
      </c>
      <c r="E793" t="s">
        <v>77</v>
      </c>
      <c r="F793">
        <v>1</v>
      </c>
      <c r="G793" s="1">
        <v>125</v>
      </c>
      <c r="H793" s="1">
        <v>67</v>
      </c>
      <c r="I793" s="5">
        <v>45954</v>
      </c>
      <c r="J793" t="s">
        <v>30</v>
      </c>
      <c r="K793" t="s">
        <v>17</v>
      </c>
      <c r="L793" t="s">
        <v>25</v>
      </c>
      <c r="M793" s="1">
        <f>(orders[[#This Row],[Revenue]]-orders[[#This Row],[Cost]])</f>
        <v>58</v>
      </c>
      <c r="N793" s="8">
        <f>IFERROR(orders[[#This Row],[profit]]/orders[[#This Row],[Revenue]],0)</f>
        <v>0.46400000000000002</v>
      </c>
      <c r="O793">
        <f>IF(orders[[#This Row],[Delivery Date]]="","",(orders[[#This Row],[Delivery Date]]-orders[[#This Row],[Date]]))</f>
        <v>3</v>
      </c>
      <c r="P793" t="str">
        <f>IF(orders[[#This Row],[delivery days]]="","Not Delivered",IF(orders[[#This Row],[delivery days]]&lt;=2,"Fast",IF(orders[[#This Row],[delivery days]]&lt;=5,"Normal","Delayed")))</f>
        <v>Normal</v>
      </c>
    </row>
    <row r="794" spans="1:16" x14ac:dyDescent="0.25">
      <c r="A794" t="s">
        <v>930</v>
      </c>
      <c r="B794" s="5">
        <v>45952</v>
      </c>
      <c r="C794" t="s">
        <v>161</v>
      </c>
      <c r="D794" t="s">
        <v>163</v>
      </c>
      <c r="E794" t="s">
        <v>39</v>
      </c>
      <c r="F794">
        <v>2</v>
      </c>
      <c r="G794" s="1">
        <v>190</v>
      </c>
      <c r="H794" s="1">
        <v>104</v>
      </c>
      <c r="I794" s="5">
        <v>45955</v>
      </c>
      <c r="J794" t="s">
        <v>46</v>
      </c>
      <c r="K794" t="s">
        <v>47</v>
      </c>
      <c r="L794" t="s">
        <v>25</v>
      </c>
      <c r="M794" s="1">
        <f>(orders[[#This Row],[Revenue]]-orders[[#This Row],[Cost]])</f>
        <v>86</v>
      </c>
      <c r="N794" s="8">
        <f>IFERROR(orders[[#This Row],[profit]]/orders[[#This Row],[Revenue]],0)</f>
        <v>0.45263157894736844</v>
      </c>
      <c r="O794">
        <f>IF(orders[[#This Row],[Delivery Date]]="","",(orders[[#This Row],[Delivery Date]]-orders[[#This Row],[Date]]))</f>
        <v>3</v>
      </c>
      <c r="P794" t="str">
        <f>IF(orders[[#This Row],[delivery days]]="","Not Delivered",IF(orders[[#This Row],[delivery days]]&lt;=2,"Fast",IF(orders[[#This Row],[delivery days]]&lt;=5,"Normal","Delayed")))</f>
        <v>Normal</v>
      </c>
    </row>
    <row r="795" spans="1:16" x14ac:dyDescent="0.25">
      <c r="A795" t="s">
        <v>931</v>
      </c>
      <c r="B795" s="5">
        <v>45952</v>
      </c>
      <c r="C795" t="s">
        <v>13</v>
      </c>
      <c r="D795" t="s">
        <v>215</v>
      </c>
      <c r="E795" t="s">
        <v>62</v>
      </c>
      <c r="F795">
        <v>1</v>
      </c>
      <c r="G795" s="1">
        <v>220</v>
      </c>
      <c r="H795" s="1">
        <v>144.84</v>
      </c>
      <c r="I795" s="5">
        <v>45956</v>
      </c>
      <c r="J795" t="s">
        <v>30</v>
      </c>
      <c r="K795" t="s">
        <v>17</v>
      </c>
      <c r="L795" t="s">
        <v>25</v>
      </c>
      <c r="M795" s="1">
        <f>(orders[[#This Row],[Revenue]]-orders[[#This Row],[Cost]])</f>
        <v>75.16</v>
      </c>
      <c r="N795" s="8">
        <f>IFERROR(orders[[#This Row],[profit]]/orders[[#This Row],[Revenue]],0)</f>
        <v>0.34163636363636363</v>
      </c>
      <c r="O795">
        <f>IF(orders[[#This Row],[Delivery Date]]="","",(orders[[#This Row],[Delivery Date]]-orders[[#This Row],[Date]]))</f>
        <v>4</v>
      </c>
      <c r="P795" t="str">
        <f>IF(orders[[#This Row],[delivery days]]="","Not Delivered",IF(orders[[#This Row],[delivery days]]&lt;=2,"Fast",IF(orders[[#This Row],[delivery days]]&lt;=5,"Normal","Delayed")))</f>
        <v>Normal</v>
      </c>
    </row>
    <row r="796" spans="1:16" x14ac:dyDescent="0.25">
      <c r="A796" t="s">
        <v>932</v>
      </c>
      <c r="B796" s="5">
        <v>45953</v>
      </c>
      <c r="C796" t="s">
        <v>139</v>
      </c>
      <c r="D796" t="s">
        <v>33</v>
      </c>
      <c r="E796" t="s">
        <v>34</v>
      </c>
      <c r="F796">
        <v>2</v>
      </c>
      <c r="G796" s="1">
        <v>116</v>
      </c>
      <c r="H796" s="1">
        <v>49</v>
      </c>
      <c r="I796" s="5">
        <v>45955</v>
      </c>
      <c r="J796" t="s">
        <v>46</v>
      </c>
      <c r="K796" t="s">
        <v>24</v>
      </c>
      <c r="L796" t="s">
        <v>25</v>
      </c>
      <c r="M796" s="1">
        <f>(orders[[#This Row],[Revenue]]-orders[[#This Row],[Cost]])</f>
        <v>67</v>
      </c>
      <c r="N796" s="8">
        <f>IFERROR(orders[[#This Row],[profit]]/orders[[#This Row],[Revenue]],0)</f>
        <v>0.57758620689655171</v>
      </c>
      <c r="O796">
        <f>IF(orders[[#This Row],[Delivery Date]]="","",(orders[[#This Row],[Delivery Date]]-orders[[#This Row],[Date]]))</f>
        <v>2</v>
      </c>
      <c r="P796" t="str">
        <f>IF(orders[[#This Row],[delivery days]]="","Not Delivered",IF(orders[[#This Row],[delivery days]]&lt;=2,"Fast",IF(orders[[#This Row],[delivery days]]&lt;=5,"Normal","Delayed")))</f>
        <v>Fast</v>
      </c>
    </row>
    <row r="797" spans="1:16" x14ac:dyDescent="0.25">
      <c r="A797" t="s">
        <v>933</v>
      </c>
      <c r="B797" s="5">
        <v>45953</v>
      </c>
      <c r="C797" t="s">
        <v>92</v>
      </c>
      <c r="D797" t="s">
        <v>266</v>
      </c>
      <c r="E797" t="s">
        <v>22</v>
      </c>
      <c r="F797">
        <v>1</v>
      </c>
      <c r="G797" s="1">
        <v>16.559999999999999</v>
      </c>
      <c r="H797" s="1">
        <v>6.86</v>
      </c>
      <c r="I797" s="5">
        <v>45959</v>
      </c>
      <c r="J797" t="s">
        <v>52</v>
      </c>
      <c r="K797" t="s">
        <v>47</v>
      </c>
      <c r="L797" t="s">
        <v>25</v>
      </c>
      <c r="M797" s="1">
        <f>(orders[[#This Row],[Revenue]]-orders[[#This Row],[Cost]])</f>
        <v>9.6999999999999993</v>
      </c>
      <c r="N797" s="8">
        <f>IFERROR(orders[[#This Row],[profit]]/orders[[#This Row],[Revenue]],0)</f>
        <v>0.58574879227053145</v>
      </c>
      <c r="O797">
        <f>IF(orders[[#This Row],[Delivery Date]]="","",(orders[[#This Row],[Delivery Date]]-orders[[#This Row],[Date]]))</f>
        <v>6</v>
      </c>
      <c r="P797" t="str">
        <f>IF(orders[[#This Row],[delivery days]]="","Not Delivered",IF(orders[[#This Row],[delivery days]]&lt;=2,"Fast",IF(orders[[#This Row],[delivery days]]&lt;=5,"Normal","Delayed")))</f>
        <v>Delayed</v>
      </c>
    </row>
    <row r="798" spans="1:16" x14ac:dyDescent="0.25">
      <c r="A798" t="s">
        <v>934</v>
      </c>
      <c r="B798" s="5">
        <v>45954</v>
      </c>
      <c r="C798" t="s">
        <v>195</v>
      </c>
      <c r="D798" t="s">
        <v>76</v>
      </c>
      <c r="E798" t="s">
        <v>77</v>
      </c>
      <c r="F798">
        <v>1</v>
      </c>
      <c r="G798" s="1">
        <v>260</v>
      </c>
      <c r="H798" s="1">
        <v>165</v>
      </c>
      <c r="I798" s="5">
        <v>45957</v>
      </c>
      <c r="J798" t="s">
        <v>30</v>
      </c>
      <c r="K798" t="s">
        <v>35</v>
      </c>
      <c r="L798" t="s">
        <v>25</v>
      </c>
      <c r="M798" s="1">
        <f>(orders[[#This Row],[Revenue]]-orders[[#This Row],[Cost]])</f>
        <v>95</v>
      </c>
      <c r="N798" s="8">
        <f>IFERROR(orders[[#This Row],[profit]]/orders[[#This Row],[Revenue]],0)</f>
        <v>0.36538461538461536</v>
      </c>
      <c r="O798">
        <f>IF(orders[[#This Row],[Delivery Date]]="","",(orders[[#This Row],[Delivery Date]]-orders[[#This Row],[Date]]))</f>
        <v>3</v>
      </c>
      <c r="P798" t="str">
        <f>IF(orders[[#This Row],[delivery days]]="","Not Delivered",IF(orders[[#This Row],[delivery days]]&lt;=2,"Fast",IF(orders[[#This Row],[delivery days]]&lt;=5,"Normal","Delayed")))</f>
        <v>Normal</v>
      </c>
    </row>
    <row r="799" spans="1:16" x14ac:dyDescent="0.25">
      <c r="A799" t="s">
        <v>935</v>
      </c>
      <c r="B799" s="5">
        <v>45954</v>
      </c>
      <c r="C799" t="s">
        <v>92</v>
      </c>
      <c r="D799" t="s">
        <v>146</v>
      </c>
      <c r="E799" t="s">
        <v>22</v>
      </c>
      <c r="F799">
        <v>1</v>
      </c>
      <c r="G799" s="1">
        <v>88</v>
      </c>
      <c r="H799" s="1">
        <v>45</v>
      </c>
      <c r="I799" s="5"/>
      <c r="J799" t="s">
        <v>23</v>
      </c>
      <c r="K799" t="s">
        <v>17</v>
      </c>
      <c r="L799" t="s">
        <v>103</v>
      </c>
      <c r="M799" s="1">
        <f>(orders[[#This Row],[Revenue]]-orders[[#This Row],[Cost]])</f>
        <v>43</v>
      </c>
      <c r="N799" s="8">
        <f>IFERROR(orders[[#This Row],[profit]]/orders[[#This Row],[Revenue]],0)</f>
        <v>0.48863636363636365</v>
      </c>
      <c r="O799" t="str">
        <f>IF(orders[[#This Row],[Delivery Date]]="","",(orders[[#This Row],[Delivery Date]]-orders[[#This Row],[Date]]))</f>
        <v/>
      </c>
      <c r="P799" t="str">
        <f>IF(orders[[#This Row],[delivery days]]="","Not Delivered",IF(orders[[#This Row],[delivery days]]&lt;=2,"Fast",IF(orders[[#This Row],[delivery days]]&lt;=5,"Normal","Delayed")))</f>
        <v>Not Delivered</v>
      </c>
    </row>
    <row r="800" spans="1:16" x14ac:dyDescent="0.25">
      <c r="A800" t="s">
        <v>936</v>
      </c>
      <c r="B800" s="5">
        <v>45954</v>
      </c>
      <c r="C800" t="s">
        <v>222</v>
      </c>
      <c r="D800" t="s">
        <v>266</v>
      </c>
      <c r="E800" t="s">
        <v>22</v>
      </c>
      <c r="F800">
        <v>2</v>
      </c>
      <c r="G800" s="1">
        <v>38.880000000000003</v>
      </c>
      <c r="H800" s="1">
        <v>14</v>
      </c>
      <c r="I800" s="5">
        <v>45958</v>
      </c>
      <c r="J800" t="s">
        <v>16</v>
      </c>
      <c r="K800" t="s">
        <v>35</v>
      </c>
      <c r="L800" t="s">
        <v>25</v>
      </c>
      <c r="M800" s="1">
        <f>(orders[[#This Row],[Revenue]]-orders[[#This Row],[Cost]])</f>
        <v>24.880000000000003</v>
      </c>
      <c r="N800" s="8">
        <f>IFERROR(orders[[#This Row],[profit]]/orders[[#This Row],[Revenue]],0)</f>
        <v>0.63991769547325106</v>
      </c>
      <c r="O800">
        <f>IF(orders[[#This Row],[Delivery Date]]="","",(orders[[#This Row],[Delivery Date]]-orders[[#This Row],[Date]]))</f>
        <v>4</v>
      </c>
      <c r="P800" t="str">
        <f>IF(orders[[#This Row],[delivery days]]="","Not Delivered",IF(orders[[#This Row],[delivery days]]&lt;=2,"Fast",IF(orders[[#This Row],[delivery days]]&lt;=5,"Normal","Delayed")))</f>
        <v>Normal</v>
      </c>
    </row>
    <row r="801" spans="1:16" x14ac:dyDescent="0.25">
      <c r="A801" t="s">
        <v>937</v>
      </c>
      <c r="B801" s="5">
        <v>45954</v>
      </c>
      <c r="C801" t="s">
        <v>487</v>
      </c>
      <c r="D801" t="s">
        <v>83</v>
      </c>
      <c r="E801" t="s">
        <v>15</v>
      </c>
      <c r="F801">
        <v>4</v>
      </c>
      <c r="G801" s="1">
        <v>291</v>
      </c>
      <c r="H801" s="1">
        <v>159.12</v>
      </c>
      <c r="I801" s="5">
        <v>45957</v>
      </c>
      <c r="J801" t="s">
        <v>101</v>
      </c>
      <c r="K801" t="s">
        <v>47</v>
      </c>
      <c r="L801" t="s">
        <v>25</v>
      </c>
      <c r="M801" s="1">
        <f>(orders[[#This Row],[Revenue]]-orders[[#This Row],[Cost]])</f>
        <v>131.88</v>
      </c>
      <c r="N801" s="8">
        <f>IFERROR(orders[[#This Row],[profit]]/orders[[#This Row],[Revenue]],0)</f>
        <v>0.45319587628865976</v>
      </c>
      <c r="O801">
        <f>IF(orders[[#This Row],[Delivery Date]]="","",(orders[[#This Row],[Delivery Date]]-orders[[#This Row],[Date]]))</f>
        <v>3</v>
      </c>
      <c r="P801" t="str">
        <f>IF(orders[[#This Row],[delivery days]]="","Not Delivered",IF(orders[[#This Row],[delivery days]]&lt;=2,"Fast",IF(orders[[#This Row],[delivery days]]&lt;=5,"Normal","Delayed")))</f>
        <v>Normal</v>
      </c>
    </row>
    <row r="802" spans="1:16" x14ac:dyDescent="0.25">
      <c r="A802" t="s">
        <v>938</v>
      </c>
      <c r="B802" s="5">
        <v>45954</v>
      </c>
      <c r="C802" t="s">
        <v>90</v>
      </c>
      <c r="D802" t="s">
        <v>28</v>
      </c>
      <c r="E802" t="s">
        <v>29</v>
      </c>
      <c r="F802">
        <v>1</v>
      </c>
      <c r="G802" s="1">
        <v>23.28</v>
      </c>
      <c r="H802" s="1">
        <v>9.18</v>
      </c>
      <c r="I802" s="5">
        <v>45956</v>
      </c>
      <c r="J802" t="s">
        <v>23</v>
      </c>
      <c r="K802" t="s">
        <v>24</v>
      </c>
      <c r="L802" t="s">
        <v>25</v>
      </c>
      <c r="M802" s="1">
        <f>(orders[[#This Row],[Revenue]]-orders[[#This Row],[Cost]])</f>
        <v>14.100000000000001</v>
      </c>
      <c r="N802" s="8">
        <f>IFERROR(orders[[#This Row],[profit]]/orders[[#This Row],[Revenue]],0)</f>
        <v>0.60567010309278357</v>
      </c>
      <c r="O802">
        <f>IF(orders[[#This Row],[Delivery Date]]="","",(orders[[#This Row],[Delivery Date]]-orders[[#This Row],[Date]]))</f>
        <v>2</v>
      </c>
      <c r="P802" t="str">
        <f>IF(orders[[#This Row],[delivery days]]="","Not Delivered",IF(orders[[#This Row],[delivery days]]&lt;=2,"Fast",IF(orders[[#This Row],[delivery days]]&lt;=5,"Normal","Delayed")))</f>
        <v>Fast</v>
      </c>
    </row>
    <row r="803" spans="1:16" x14ac:dyDescent="0.25">
      <c r="A803" t="s">
        <v>939</v>
      </c>
      <c r="B803" s="5">
        <v>45954</v>
      </c>
      <c r="C803" t="s">
        <v>72</v>
      </c>
      <c r="D803" t="s">
        <v>129</v>
      </c>
      <c r="E803" t="s">
        <v>39</v>
      </c>
      <c r="F803">
        <v>1</v>
      </c>
      <c r="G803" s="1">
        <v>123.6</v>
      </c>
      <c r="H803" s="1">
        <v>68</v>
      </c>
      <c r="I803" s="5"/>
      <c r="J803" t="s">
        <v>23</v>
      </c>
      <c r="K803" t="s">
        <v>24</v>
      </c>
      <c r="L803" t="s">
        <v>42</v>
      </c>
      <c r="M803" s="1">
        <f>(orders[[#This Row],[Revenue]]-orders[[#This Row],[Cost]])</f>
        <v>55.599999999999994</v>
      </c>
      <c r="N803" s="8">
        <f>IFERROR(orders[[#This Row],[profit]]/orders[[#This Row],[Revenue]],0)</f>
        <v>0.44983818770226536</v>
      </c>
      <c r="O803" t="str">
        <f>IF(orders[[#This Row],[Delivery Date]]="","",(orders[[#This Row],[Delivery Date]]-orders[[#This Row],[Date]]))</f>
        <v/>
      </c>
      <c r="P803" t="str">
        <f>IF(orders[[#This Row],[delivery days]]="","Not Delivered",IF(orders[[#This Row],[delivery days]]&lt;=2,"Fast",IF(orders[[#This Row],[delivery days]]&lt;=5,"Normal","Delayed")))</f>
        <v>Not Delivered</v>
      </c>
    </row>
    <row r="804" spans="1:16" x14ac:dyDescent="0.25">
      <c r="A804" t="s">
        <v>940</v>
      </c>
      <c r="B804" s="5">
        <v>45955</v>
      </c>
      <c r="C804" t="s">
        <v>139</v>
      </c>
      <c r="D804" t="s">
        <v>100</v>
      </c>
      <c r="E804" t="s">
        <v>34</v>
      </c>
      <c r="F804">
        <v>1</v>
      </c>
      <c r="G804" s="1">
        <v>53.56</v>
      </c>
      <c r="H804" s="1">
        <v>23</v>
      </c>
      <c r="I804" s="5">
        <v>45961</v>
      </c>
      <c r="J804" t="s">
        <v>23</v>
      </c>
      <c r="K804" t="s">
        <v>24</v>
      </c>
      <c r="L804" t="s">
        <v>25</v>
      </c>
      <c r="M804" s="1">
        <f>(orders[[#This Row],[Revenue]]-orders[[#This Row],[Cost]])</f>
        <v>30.560000000000002</v>
      </c>
      <c r="N804" s="8">
        <f>IFERROR(orders[[#This Row],[profit]]/orders[[#This Row],[Revenue]],0)</f>
        <v>0.57057505601194924</v>
      </c>
      <c r="O804">
        <f>IF(orders[[#This Row],[Delivery Date]]="","",(orders[[#This Row],[Delivery Date]]-orders[[#This Row],[Date]]))</f>
        <v>6</v>
      </c>
      <c r="P804" t="str">
        <f>IF(orders[[#This Row],[delivery days]]="","Not Delivered",IF(orders[[#This Row],[delivery days]]&lt;=2,"Fast",IF(orders[[#This Row],[delivery days]]&lt;=5,"Normal","Delayed")))</f>
        <v>Delayed</v>
      </c>
    </row>
    <row r="805" spans="1:16" x14ac:dyDescent="0.25">
      <c r="A805" t="s">
        <v>941</v>
      </c>
      <c r="B805" s="5">
        <v>45957</v>
      </c>
      <c r="C805" t="s">
        <v>200</v>
      </c>
      <c r="D805" t="s">
        <v>65</v>
      </c>
      <c r="E805" t="s">
        <v>62</v>
      </c>
      <c r="F805">
        <v>5</v>
      </c>
      <c r="G805" s="1">
        <v>240</v>
      </c>
      <c r="H805" s="1">
        <v>105</v>
      </c>
      <c r="I805" s="5">
        <v>45962</v>
      </c>
      <c r="J805" t="s">
        <v>101</v>
      </c>
      <c r="K805" t="s">
        <v>47</v>
      </c>
      <c r="L805" t="s">
        <v>25</v>
      </c>
      <c r="M805" s="1">
        <f>(orders[[#This Row],[Revenue]]-orders[[#This Row],[Cost]])</f>
        <v>135</v>
      </c>
      <c r="N805" s="8">
        <f>IFERROR(orders[[#This Row],[profit]]/orders[[#This Row],[Revenue]],0)</f>
        <v>0.5625</v>
      </c>
      <c r="O805">
        <f>IF(orders[[#This Row],[Delivery Date]]="","",(orders[[#This Row],[Delivery Date]]-orders[[#This Row],[Date]]))</f>
        <v>5</v>
      </c>
      <c r="P805" t="str">
        <f>IF(orders[[#This Row],[delivery days]]="","Not Delivered",IF(orders[[#This Row],[delivery days]]&lt;=2,"Fast",IF(orders[[#This Row],[delivery days]]&lt;=5,"Normal","Delayed")))</f>
        <v>Normal</v>
      </c>
    </row>
    <row r="806" spans="1:16" x14ac:dyDescent="0.25">
      <c r="A806" t="s">
        <v>942</v>
      </c>
      <c r="B806" s="5">
        <v>45957</v>
      </c>
      <c r="C806" t="s">
        <v>107</v>
      </c>
      <c r="D806" t="s">
        <v>150</v>
      </c>
      <c r="E806" t="s">
        <v>77</v>
      </c>
      <c r="F806">
        <v>1</v>
      </c>
      <c r="G806" s="1">
        <v>87.55</v>
      </c>
      <c r="H806" s="1">
        <v>44</v>
      </c>
      <c r="I806" s="5">
        <v>45959</v>
      </c>
      <c r="J806" t="s">
        <v>30</v>
      </c>
      <c r="K806" t="s">
        <v>35</v>
      </c>
      <c r="L806" t="s">
        <v>25</v>
      </c>
      <c r="M806" s="1">
        <f>(orders[[#This Row],[Revenue]]-orders[[#This Row],[Cost]])</f>
        <v>43.55</v>
      </c>
      <c r="N806" s="8">
        <f>IFERROR(orders[[#This Row],[profit]]/orders[[#This Row],[Revenue]],0)</f>
        <v>0.4974300399771559</v>
      </c>
      <c r="O806">
        <f>IF(orders[[#This Row],[Delivery Date]]="","",(orders[[#This Row],[Delivery Date]]-orders[[#This Row],[Date]]))</f>
        <v>2</v>
      </c>
      <c r="P806" t="str">
        <f>IF(orders[[#This Row],[delivery days]]="","Not Delivered",IF(orders[[#This Row],[delivery days]]&lt;=2,"Fast",IF(orders[[#This Row],[delivery days]]&lt;=5,"Normal","Delayed")))</f>
        <v>Fast</v>
      </c>
    </row>
    <row r="807" spans="1:16" x14ac:dyDescent="0.25">
      <c r="A807" t="s">
        <v>943</v>
      </c>
      <c r="B807" s="5">
        <v>45958</v>
      </c>
      <c r="C807" t="s">
        <v>382</v>
      </c>
      <c r="D807" t="s">
        <v>70</v>
      </c>
      <c r="E807" t="s">
        <v>62</v>
      </c>
      <c r="F807">
        <v>1</v>
      </c>
      <c r="G807" s="1">
        <v>135</v>
      </c>
      <c r="H807" s="1">
        <v>78</v>
      </c>
      <c r="I807" s="5">
        <v>45961</v>
      </c>
      <c r="J807" t="s">
        <v>30</v>
      </c>
      <c r="K807" t="s">
        <v>17</v>
      </c>
      <c r="L807" t="s">
        <v>25</v>
      </c>
      <c r="M807" s="1">
        <f>(orders[[#This Row],[Revenue]]-orders[[#This Row],[Cost]])</f>
        <v>57</v>
      </c>
      <c r="N807" s="8">
        <f>IFERROR(orders[[#This Row],[profit]]/orders[[#This Row],[Revenue]],0)</f>
        <v>0.42222222222222222</v>
      </c>
      <c r="O807">
        <f>IF(orders[[#This Row],[Delivery Date]]="","",(orders[[#This Row],[Delivery Date]]-orders[[#This Row],[Date]]))</f>
        <v>3</v>
      </c>
      <c r="P807" t="str">
        <f>IF(orders[[#This Row],[delivery days]]="","Not Delivered",IF(orders[[#This Row],[delivery days]]&lt;=2,"Fast",IF(orders[[#This Row],[delivery days]]&lt;=5,"Normal","Delayed")))</f>
        <v>Normal</v>
      </c>
    </row>
    <row r="808" spans="1:16" x14ac:dyDescent="0.25">
      <c r="A808" t="s">
        <v>944</v>
      </c>
      <c r="B808" s="5">
        <v>45959</v>
      </c>
      <c r="C808" t="s">
        <v>259</v>
      </c>
      <c r="D808" t="s">
        <v>168</v>
      </c>
      <c r="E808" t="s">
        <v>29</v>
      </c>
      <c r="F808">
        <v>1</v>
      </c>
      <c r="G808" s="1">
        <v>23.76</v>
      </c>
      <c r="H808" s="1">
        <v>8.16</v>
      </c>
      <c r="I808" s="5">
        <v>45962</v>
      </c>
      <c r="J808" t="s">
        <v>16</v>
      </c>
      <c r="K808" t="s">
        <v>35</v>
      </c>
      <c r="L808" t="s">
        <v>25</v>
      </c>
      <c r="M808" s="1">
        <f>(orders[[#This Row],[Revenue]]-orders[[#This Row],[Cost]])</f>
        <v>15.600000000000001</v>
      </c>
      <c r="N808" s="8">
        <f>IFERROR(orders[[#This Row],[profit]]/orders[[#This Row],[Revenue]],0)</f>
        <v>0.65656565656565657</v>
      </c>
      <c r="O808">
        <f>IF(orders[[#This Row],[Delivery Date]]="","",(orders[[#This Row],[Delivery Date]]-orders[[#This Row],[Date]]))</f>
        <v>3</v>
      </c>
      <c r="P808" t="str">
        <f>IF(orders[[#This Row],[delivery days]]="","Not Delivered",IF(orders[[#This Row],[delivery days]]&lt;=2,"Fast",IF(orders[[#This Row],[delivery days]]&lt;=5,"Normal","Delayed")))</f>
        <v>Normal</v>
      </c>
    </row>
    <row r="809" spans="1:16" x14ac:dyDescent="0.25">
      <c r="A809" t="s">
        <v>945</v>
      </c>
      <c r="B809" s="5">
        <v>45959</v>
      </c>
      <c r="C809" t="s">
        <v>57</v>
      </c>
      <c r="D809" t="s">
        <v>113</v>
      </c>
      <c r="E809" t="s">
        <v>15</v>
      </c>
      <c r="F809">
        <v>1</v>
      </c>
      <c r="G809" s="1">
        <v>95</v>
      </c>
      <c r="H809" s="1">
        <v>48</v>
      </c>
      <c r="I809" s="5">
        <v>45961</v>
      </c>
      <c r="J809" t="s">
        <v>30</v>
      </c>
      <c r="K809" t="s">
        <v>17</v>
      </c>
      <c r="L809" t="s">
        <v>25</v>
      </c>
      <c r="M809" s="1">
        <f>(orders[[#This Row],[Revenue]]-orders[[#This Row],[Cost]])</f>
        <v>47</v>
      </c>
      <c r="N809" s="8">
        <f>IFERROR(orders[[#This Row],[profit]]/orders[[#This Row],[Revenue]],0)</f>
        <v>0.49473684210526314</v>
      </c>
      <c r="O809">
        <f>IF(orders[[#This Row],[Delivery Date]]="","",(orders[[#This Row],[Delivery Date]]-orders[[#This Row],[Date]]))</f>
        <v>2</v>
      </c>
      <c r="P809" t="str">
        <f>IF(orders[[#This Row],[delivery days]]="","Not Delivered",IF(orders[[#This Row],[delivery days]]&lt;=2,"Fast",IF(orders[[#This Row],[delivery days]]&lt;=5,"Normal","Delayed")))</f>
        <v>Fast</v>
      </c>
    </row>
    <row r="810" spans="1:16" x14ac:dyDescent="0.25">
      <c r="A810" t="s">
        <v>946</v>
      </c>
      <c r="B810" s="5">
        <v>45959</v>
      </c>
      <c r="C810" t="s">
        <v>32</v>
      </c>
      <c r="D810" t="s">
        <v>28</v>
      </c>
      <c r="E810" t="s">
        <v>29</v>
      </c>
      <c r="F810">
        <v>3</v>
      </c>
      <c r="G810" s="1">
        <v>77.760000000000005</v>
      </c>
      <c r="H810" s="1">
        <v>27</v>
      </c>
      <c r="I810" s="5">
        <v>45962</v>
      </c>
      <c r="J810" t="s">
        <v>16</v>
      </c>
      <c r="K810" t="s">
        <v>17</v>
      </c>
      <c r="L810" t="s">
        <v>25</v>
      </c>
      <c r="M810" s="1">
        <f>(orders[[#This Row],[Revenue]]-orders[[#This Row],[Cost]])</f>
        <v>50.760000000000005</v>
      </c>
      <c r="N810" s="8">
        <f>IFERROR(orders[[#This Row],[profit]]/orders[[#This Row],[Revenue]],0)</f>
        <v>0.65277777777777779</v>
      </c>
      <c r="O810">
        <f>IF(orders[[#This Row],[Delivery Date]]="","",(orders[[#This Row],[Delivery Date]]-orders[[#This Row],[Date]]))</f>
        <v>3</v>
      </c>
      <c r="P810" t="str">
        <f>IF(orders[[#This Row],[delivery days]]="","Not Delivered",IF(orders[[#This Row],[delivery days]]&lt;=2,"Fast",IF(orders[[#This Row],[delivery days]]&lt;=5,"Normal","Delayed")))</f>
        <v>Normal</v>
      </c>
    </row>
    <row r="811" spans="1:16" x14ac:dyDescent="0.25">
      <c r="A811" t="s">
        <v>947</v>
      </c>
      <c r="B811" s="5">
        <v>45959</v>
      </c>
      <c r="C811" t="s">
        <v>13</v>
      </c>
      <c r="D811" t="s">
        <v>208</v>
      </c>
      <c r="E811" t="s">
        <v>15</v>
      </c>
      <c r="F811">
        <v>2</v>
      </c>
      <c r="G811" s="1">
        <v>280.8</v>
      </c>
      <c r="H811" s="1">
        <v>152</v>
      </c>
      <c r="I811" s="5">
        <v>45960</v>
      </c>
      <c r="J811" t="s">
        <v>16</v>
      </c>
      <c r="K811" t="s">
        <v>35</v>
      </c>
      <c r="L811" t="s">
        <v>25</v>
      </c>
      <c r="M811" s="1">
        <f>(orders[[#This Row],[Revenue]]-orders[[#This Row],[Cost]])</f>
        <v>128.80000000000001</v>
      </c>
      <c r="N811" s="8">
        <f>IFERROR(orders[[#This Row],[profit]]/orders[[#This Row],[Revenue]],0)</f>
        <v>0.45868945868945871</v>
      </c>
      <c r="O811">
        <f>IF(orders[[#This Row],[Delivery Date]]="","",(orders[[#This Row],[Delivery Date]]-orders[[#This Row],[Date]]))</f>
        <v>1</v>
      </c>
      <c r="P811" t="str">
        <f>IF(orders[[#This Row],[delivery days]]="","Not Delivered",IF(orders[[#This Row],[delivery days]]&lt;=2,"Fast",IF(orders[[#This Row],[delivery days]]&lt;=5,"Normal","Delayed")))</f>
        <v>Fast</v>
      </c>
    </row>
    <row r="812" spans="1:16" x14ac:dyDescent="0.25">
      <c r="A812" t="s">
        <v>948</v>
      </c>
      <c r="B812" s="5">
        <v>45960</v>
      </c>
      <c r="C812" t="s">
        <v>176</v>
      </c>
      <c r="D812" t="s">
        <v>119</v>
      </c>
      <c r="E812" t="s">
        <v>39</v>
      </c>
      <c r="F812">
        <v>3</v>
      </c>
      <c r="G812" s="1">
        <v>165</v>
      </c>
      <c r="H812" s="1">
        <v>82.32</v>
      </c>
      <c r="I812" s="5">
        <v>45961</v>
      </c>
      <c r="J812" t="s">
        <v>30</v>
      </c>
      <c r="K812" t="s">
        <v>35</v>
      </c>
      <c r="L812" t="s">
        <v>25</v>
      </c>
      <c r="M812" s="1">
        <f>(orders[[#This Row],[Revenue]]-orders[[#This Row],[Cost]])</f>
        <v>82.68</v>
      </c>
      <c r="N812" s="8">
        <f>IFERROR(orders[[#This Row],[profit]]/orders[[#This Row],[Revenue]],0)</f>
        <v>0.50109090909090914</v>
      </c>
      <c r="O812">
        <f>IF(orders[[#This Row],[Delivery Date]]="","",(orders[[#This Row],[Delivery Date]]-orders[[#This Row],[Date]]))</f>
        <v>1</v>
      </c>
      <c r="P812" t="str">
        <f>IF(orders[[#This Row],[delivery days]]="","Not Delivered",IF(orders[[#This Row],[delivery days]]&lt;=2,"Fast",IF(orders[[#This Row],[delivery days]]&lt;=5,"Normal","Delayed")))</f>
        <v>Fast</v>
      </c>
    </row>
    <row r="813" spans="1:16" x14ac:dyDescent="0.25">
      <c r="A813" t="s">
        <v>949</v>
      </c>
      <c r="B813" s="5">
        <v>45960</v>
      </c>
      <c r="C813" t="s">
        <v>200</v>
      </c>
      <c r="D813" t="s">
        <v>146</v>
      </c>
      <c r="E813" t="s">
        <v>22</v>
      </c>
      <c r="F813">
        <v>1</v>
      </c>
      <c r="G813" s="1">
        <v>90.64</v>
      </c>
      <c r="H813" s="1">
        <v>45</v>
      </c>
      <c r="I813" s="5">
        <v>45963</v>
      </c>
      <c r="J813" t="s">
        <v>16</v>
      </c>
      <c r="K813" t="s">
        <v>35</v>
      </c>
      <c r="L813" t="s">
        <v>25</v>
      </c>
      <c r="M813" s="1">
        <f>(orders[[#This Row],[Revenue]]-orders[[#This Row],[Cost]])</f>
        <v>45.64</v>
      </c>
      <c r="N813" s="8">
        <f>IFERROR(orders[[#This Row],[profit]]/orders[[#This Row],[Revenue]],0)</f>
        <v>0.50353045013239184</v>
      </c>
      <c r="O813">
        <f>IF(orders[[#This Row],[Delivery Date]]="","",(orders[[#This Row],[Delivery Date]]-orders[[#This Row],[Date]]))</f>
        <v>3</v>
      </c>
      <c r="P813" t="str">
        <f>IF(orders[[#This Row],[delivery days]]="","Not Delivered",IF(orders[[#This Row],[delivery days]]&lt;=2,"Fast",IF(orders[[#This Row],[delivery days]]&lt;=5,"Normal","Delayed")))</f>
        <v>Normal</v>
      </c>
    </row>
    <row r="814" spans="1:16" x14ac:dyDescent="0.25">
      <c r="A814" t="s">
        <v>950</v>
      </c>
      <c r="B814" s="5">
        <v>45961</v>
      </c>
      <c r="C814" t="s">
        <v>96</v>
      </c>
      <c r="D814" t="s">
        <v>224</v>
      </c>
      <c r="E814" t="s">
        <v>77</v>
      </c>
      <c r="F814">
        <v>1</v>
      </c>
      <c r="G814" s="1">
        <v>125</v>
      </c>
      <c r="H814" s="1">
        <v>67</v>
      </c>
      <c r="I814" s="5">
        <v>45964</v>
      </c>
      <c r="J814" t="s">
        <v>23</v>
      </c>
      <c r="K814" t="s">
        <v>17</v>
      </c>
      <c r="L814" t="s">
        <v>25</v>
      </c>
      <c r="M814" s="1">
        <f>(orders[[#This Row],[Revenue]]-orders[[#This Row],[Cost]])</f>
        <v>58</v>
      </c>
      <c r="N814" s="8">
        <f>IFERROR(orders[[#This Row],[profit]]/orders[[#This Row],[Revenue]],0)</f>
        <v>0.46400000000000002</v>
      </c>
      <c r="O814">
        <f>IF(orders[[#This Row],[Delivery Date]]="","",(orders[[#This Row],[Delivery Date]]-orders[[#This Row],[Date]]))</f>
        <v>3</v>
      </c>
      <c r="P814" t="str">
        <f>IF(orders[[#This Row],[delivery days]]="","Not Delivered",IF(orders[[#This Row],[delivery days]]&lt;=2,"Fast",IF(orders[[#This Row],[delivery days]]&lt;=5,"Normal","Delayed")))</f>
        <v>Normal</v>
      </c>
    </row>
    <row r="815" spans="1:16" x14ac:dyDescent="0.25">
      <c r="A815" t="s">
        <v>951</v>
      </c>
      <c r="B815" s="5">
        <v>45961</v>
      </c>
      <c r="C815" t="s">
        <v>107</v>
      </c>
      <c r="D815" t="s">
        <v>215</v>
      </c>
      <c r="E815" t="s">
        <v>62</v>
      </c>
      <c r="F815">
        <v>2</v>
      </c>
      <c r="G815" s="1">
        <v>440</v>
      </c>
      <c r="H815" s="1">
        <v>284</v>
      </c>
      <c r="I815" s="5"/>
      <c r="J815" t="s">
        <v>30</v>
      </c>
      <c r="K815" t="s">
        <v>17</v>
      </c>
      <c r="L815" t="s">
        <v>42</v>
      </c>
      <c r="M815" s="1">
        <f>(orders[[#This Row],[Revenue]]-orders[[#This Row],[Cost]])</f>
        <v>156</v>
      </c>
      <c r="N815" s="8">
        <f>IFERROR(orders[[#This Row],[profit]]/orders[[#This Row],[Revenue]],0)</f>
        <v>0.35454545454545455</v>
      </c>
      <c r="O815" t="str">
        <f>IF(orders[[#This Row],[Delivery Date]]="","",(orders[[#This Row],[Delivery Date]]-orders[[#This Row],[Date]]))</f>
        <v/>
      </c>
      <c r="P815" t="str">
        <f>IF(orders[[#This Row],[delivery days]]="","Not Delivered",IF(orders[[#This Row],[delivery days]]&lt;=2,"Fast",IF(orders[[#This Row],[delivery days]]&lt;=5,"Normal","Delayed")))</f>
        <v>Not Delivered</v>
      </c>
    </row>
    <row r="816" spans="1:16" x14ac:dyDescent="0.25">
      <c r="A816" t="s">
        <v>952</v>
      </c>
      <c r="B816" s="5">
        <v>45962</v>
      </c>
      <c r="C816" t="s">
        <v>210</v>
      </c>
      <c r="D816" t="s">
        <v>108</v>
      </c>
      <c r="E816" t="s">
        <v>22</v>
      </c>
      <c r="F816">
        <v>4</v>
      </c>
      <c r="G816" s="1">
        <v>380</v>
      </c>
      <c r="H816" s="1">
        <v>164.64</v>
      </c>
      <c r="I816" s="5">
        <v>45966</v>
      </c>
      <c r="J816" t="s">
        <v>101</v>
      </c>
      <c r="K816" t="s">
        <v>47</v>
      </c>
      <c r="L816" t="s">
        <v>25</v>
      </c>
      <c r="M816" s="1">
        <f>(orders[[#This Row],[Revenue]]-orders[[#This Row],[Cost]])</f>
        <v>215.36</v>
      </c>
      <c r="N816" s="8">
        <f>IFERROR(orders[[#This Row],[profit]]/orders[[#This Row],[Revenue]],0)</f>
        <v>0.56673684210526321</v>
      </c>
      <c r="O816">
        <f>IF(orders[[#This Row],[Delivery Date]]="","",(orders[[#This Row],[Delivery Date]]-orders[[#This Row],[Date]]))</f>
        <v>4</v>
      </c>
      <c r="P816" t="str">
        <f>IF(orders[[#This Row],[delivery days]]="","Not Delivered",IF(orders[[#This Row],[delivery days]]&lt;=2,"Fast",IF(orders[[#This Row],[delivery days]]&lt;=5,"Normal","Delayed")))</f>
        <v>Normal</v>
      </c>
    </row>
    <row r="817" spans="1:16" x14ac:dyDescent="0.25">
      <c r="A817" t="s">
        <v>953</v>
      </c>
      <c r="B817" s="5">
        <v>45962</v>
      </c>
      <c r="C817" t="s">
        <v>69</v>
      </c>
      <c r="D817" t="s">
        <v>55</v>
      </c>
      <c r="E817" t="s">
        <v>39</v>
      </c>
      <c r="F817">
        <v>3</v>
      </c>
      <c r="G817" s="1">
        <v>1297.8</v>
      </c>
      <c r="H817" s="1">
        <v>825</v>
      </c>
      <c r="I817" s="5">
        <v>45967</v>
      </c>
      <c r="J817" t="s">
        <v>46</v>
      </c>
      <c r="K817" t="s">
        <v>24</v>
      </c>
      <c r="L817" t="s">
        <v>25</v>
      </c>
      <c r="M817" s="1">
        <f>(orders[[#This Row],[Revenue]]-orders[[#This Row],[Cost]])</f>
        <v>472.79999999999995</v>
      </c>
      <c r="N817" s="8">
        <f>IFERROR(orders[[#This Row],[profit]]/orders[[#This Row],[Revenue]],0)</f>
        <v>0.36430883032824779</v>
      </c>
      <c r="O817">
        <f>IF(orders[[#This Row],[Delivery Date]]="","",(orders[[#This Row],[Delivery Date]]-orders[[#This Row],[Date]]))</f>
        <v>5</v>
      </c>
      <c r="P817" t="str">
        <f>IF(orders[[#This Row],[delivery days]]="","Not Delivered",IF(orders[[#This Row],[delivery days]]&lt;=2,"Fast",IF(orders[[#This Row],[delivery days]]&lt;=5,"Normal","Delayed")))</f>
        <v>Normal</v>
      </c>
    </row>
    <row r="818" spans="1:16" x14ac:dyDescent="0.25">
      <c r="A818" t="s">
        <v>954</v>
      </c>
      <c r="B818" s="5">
        <v>45963</v>
      </c>
      <c r="C818" t="s">
        <v>116</v>
      </c>
      <c r="D818" t="s">
        <v>163</v>
      </c>
      <c r="E818" t="s">
        <v>39</v>
      </c>
      <c r="F818">
        <v>4</v>
      </c>
      <c r="G818" s="1">
        <v>391.4</v>
      </c>
      <c r="H818" s="1">
        <v>208</v>
      </c>
      <c r="I818" s="5">
        <v>45964</v>
      </c>
      <c r="J818" t="s">
        <v>16</v>
      </c>
      <c r="K818" t="s">
        <v>35</v>
      </c>
      <c r="L818" t="s">
        <v>25</v>
      </c>
      <c r="M818" s="1">
        <f>(orders[[#This Row],[Revenue]]-orders[[#This Row],[Cost]])</f>
        <v>183.39999999999998</v>
      </c>
      <c r="N818" s="8">
        <f>IFERROR(orders[[#This Row],[profit]]/orders[[#This Row],[Revenue]],0)</f>
        <v>0.46857434849259066</v>
      </c>
      <c r="O818">
        <f>IF(orders[[#This Row],[Delivery Date]]="","",(orders[[#This Row],[Delivery Date]]-orders[[#This Row],[Date]]))</f>
        <v>1</v>
      </c>
      <c r="P818" t="str">
        <f>IF(orders[[#This Row],[delivery days]]="","Not Delivered",IF(orders[[#This Row],[delivery days]]&lt;=2,"Fast",IF(orders[[#This Row],[delivery days]]&lt;=5,"Normal","Delayed")))</f>
        <v>Fast</v>
      </c>
    </row>
    <row r="819" spans="1:16" x14ac:dyDescent="0.25">
      <c r="A819" t="s">
        <v>955</v>
      </c>
      <c r="B819" s="5">
        <v>45963</v>
      </c>
      <c r="C819" t="s">
        <v>107</v>
      </c>
      <c r="D819" t="s">
        <v>108</v>
      </c>
      <c r="E819" t="s">
        <v>22</v>
      </c>
      <c r="F819">
        <v>1</v>
      </c>
      <c r="G819" s="1">
        <v>95</v>
      </c>
      <c r="H819" s="1">
        <v>42</v>
      </c>
      <c r="I819" s="5">
        <v>45970</v>
      </c>
      <c r="J819" t="s">
        <v>52</v>
      </c>
      <c r="K819" t="s">
        <v>47</v>
      </c>
      <c r="L819" t="s">
        <v>25</v>
      </c>
      <c r="M819" s="1">
        <f>(orders[[#This Row],[Revenue]]-orders[[#This Row],[Cost]])</f>
        <v>53</v>
      </c>
      <c r="N819" s="8">
        <f>IFERROR(orders[[#This Row],[profit]]/orders[[#This Row],[Revenue]],0)</f>
        <v>0.55789473684210522</v>
      </c>
      <c r="O819">
        <f>IF(orders[[#This Row],[Delivery Date]]="","",(orders[[#This Row],[Delivery Date]]-orders[[#This Row],[Date]]))</f>
        <v>7</v>
      </c>
      <c r="P819" t="str">
        <f>IF(orders[[#This Row],[delivery days]]="","Not Delivered",IF(orders[[#This Row],[delivery days]]&lt;=2,"Fast",IF(orders[[#This Row],[delivery days]]&lt;=5,"Normal","Delayed")))</f>
        <v>Delayed</v>
      </c>
    </row>
    <row r="820" spans="1:16" x14ac:dyDescent="0.25">
      <c r="A820" t="s">
        <v>956</v>
      </c>
      <c r="B820" s="5">
        <v>45963</v>
      </c>
      <c r="C820" t="s">
        <v>49</v>
      </c>
      <c r="D820" t="s">
        <v>308</v>
      </c>
      <c r="E820" t="s">
        <v>22</v>
      </c>
      <c r="F820">
        <v>1</v>
      </c>
      <c r="G820" s="1">
        <v>75</v>
      </c>
      <c r="H820" s="1">
        <v>34</v>
      </c>
      <c r="I820" s="5">
        <v>45967</v>
      </c>
      <c r="J820" t="s">
        <v>30</v>
      </c>
      <c r="K820" t="s">
        <v>17</v>
      </c>
      <c r="L820" t="s">
        <v>25</v>
      </c>
      <c r="M820" s="1">
        <f>(orders[[#This Row],[Revenue]]-orders[[#This Row],[Cost]])</f>
        <v>41</v>
      </c>
      <c r="N820" s="8">
        <f>IFERROR(orders[[#This Row],[profit]]/orders[[#This Row],[Revenue]],0)</f>
        <v>0.54666666666666663</v>
      </c>
      <c r="O820">
        <f>IF(orders[[#This Row],[Delivery Date]]="","",(orders[[#This Row],[Delivery Date]]-orders[[#This Row],[Date]]))</f>
        <v>4</v>
      </c>
      <c r="P820" t="str">
        <f>IF(orders[[#This Row],[delivery days]]="","Not Delivered",IF(orders[[#This Row],[delivery days]]&lt;=2,"Fast",IF(orders[[#This Row],[delivery days]]&lt;=5,"Normal","Delayed")))</f>
        <v>Normal</v>
      </c>
    </row>
    <row r="821" spans="1:16" x14ac:dyDescent="0.25">
      <c r="A821" t="s">
        <v>957</v>
      </c>
      <c r="B821" s="5">
        <v>45963</v>
      </c>
      <c r="C821" t="s">
        <v>132</v>
      </c>
      <c r="D821" t="s">
        <v>187</v>
      </c>
      <c r="E821" t="s">
        <v>15</v>
      </c>
      <c r="F821">
        <v>1</v>
      </c>
      <c r="G821" s="1">
        <v>35</v>
      </c>
      <c r="H821" s="1">
        <v>16.32</v>
      </c>
      <c r="I821" s="5">
        <v>45967</v>
      </c>
      <c r="J821" t="s">
        <v>101</v>
      </c>
      <c r="K821" t="s">
        <v>47</v>
      </c>
      <c r="L821" t="s">
        <v>25</v>
      </c>
      <c r="M821" s="1">
        <f>(orders[[#This Row],[Revenue]]-orders[[#This Row],[Cost]])</f>
        <v>18.68</v>
      </c>
      <c r="N821" s="8">
        <f>IFERROR(orders[[#This Row],[profit]]/orders[[#This Row],[Revenue]],0)</f>
        <v>0.5337142857142857</v>
      </c>
      <c r="O821">
        <f>IF(orders[[#This Row],[Delivery Date]]="","",(orders[[#This Row],[Delivery Date]]-orders[[#This Row],[Date]]))</f>
        <v>4</v>
      </c>
      <c r="P821" t="str">
        <f>IF(orders[[#This Row],[delivery days]]="","Not Delivered",IF(orders[[#This Row],[delivery days]]&lt;=2,"Fast",IF(orders[[#This Row],[delivery days]]&lt;=5,"Normal","Delayed")))</f>
        <v>Normal</v>
      </c>
    </row>
    <row r="822" spans="1:16" x14ac:dyDescent="0.25">
      <c r="A822" t="s">
        <v>958</v>
      </c>
      <c r="B822" s="5">
        <v>45964</v>
      </c>
      <c r="C822" t="s">
        <v>137</v>
      </c>
      <c r="D822" t="s">
        <v>308</v>
      </c>
      <c r="E822" t="s">
        <v>22</v>
      </c>
      <c r="F822">
        <v>1</v>
      </c>
      <c r="G822" s="1">
        <v>75</v>
      </c>
      <c r="H822" s="1">
        <v>34.68</v>
      </c>
      <c r="I822" s="5">
        <v>45965</v>
      </c>
      <c r="J822" t="s">
        <v>30</v>
      </c>
      <c r="K822" t="s">
        <v>35</v>
      </c>
      <c r="L822" t="s">
        <v>25</v>
      </c>
      <c r="M822" s="1">
        <f>(orders[[#This Row],[Revenue]]-orders[[#This Row],[Cost]])</f>
        <v>40.32</v>
      </c>
      <c r="N822" s="8">
        <f>IFERROR(orders[[#This Row],[profit]]/orders[[#This Row],[Revenue]],0)</f>
        <v>0.53759999999999997</v>
      </c>
      <c r="O822">
        <f>IF(orders[[#This Row],[Delivery Date]]="","",(orders[[#This Row],[Delivery Date]]-orders[[#This Row],[Date]]))</f>
        <v>1</v>
      </c>
      <c r="P822" t="str">
        <f>IF(orders[[#This Row],[delivery days]]="","Not Delivered",IF(orders[[#This Row],[delivery days]]&lt;=2,"Fast",IF(orders[[#This Row],[delivery days]]&lt;=5,"Normal","Delayed")))</f>
        <v>Fast</v>
      </c>
    </row>
    <row r="823" spans="1:16" x14ac:dyDescent="0.25">
      <c r="A823" t="s">
        <v>959</v>
      </c>
      <c r="B823" s="5">
        <v>45964</v>
      </c>
      <c r="C823" t="s">
        <v>75</v>
      </c>
      <c r="D823" t="s">
        <v>127</v>
      </c>
      <c r="E823" t="s">
        <v>29</v>
      </c>
      <c r="F823">
        <v>5</v>
      </c>
      <c r="G823" s="1">
        <v>92.7</v>
      </c>
      <c r="H823" s="1">
        <v>30</v>
      </c>
      <c r="I823" s="5"/>
      <c r="J823" t="s">
        <v>30</v>
      </c>
      <c r="K823" t="s">
        <v>17</v>
      </c>
      <c r="L823" t="s">
        <v>42</v>
      </c>
      <c r="M823" s="1">
        <f>(orders[[#This Row],[Revenue]]-orders[[#This Row],[Cost]])</f>
        <v>62.7</v>
      </c>
      <c r="N823" s="8">
        <f>IFERROR(orders[[#This Row],[profit]]/orders[[#This Row],[Revenue]],0)</f>
        <v>0.6763754045307443</v>
      </c>
      <c r="O823" t="str">
        <f>IF(orders[[#This Row],[Delivery Date]]="","",(orders[[#This Row],[Delivery Date]]-orders[[#This Row],[Date]]))</f>
        <v/>
      </c>
      <c r="P823" t="str">
        <f>IF(orders[[#This Row],[delivery days]]="","Not Delivered",IF(orders[[#This Row],[delivery days]]&lt;=2,"Fast",IF(orders[[#This Row],[delivery days]]&lt;=5,"Normal","Delayed")))</f>
        <v>Not Delivered</v>
      </c>
    </row>
    <row r="824" spans="1:16" x14ac:dyDescent="0.25">
      <c r="A824" t="s">
        <v>960</v>
      </c>
      <c r="B824" s="5">
        <v>45964</v>
      </c>
      <c r="C824" t="s">
        <v>228</v>
      </c>
      <c r="D824" t="s">
        <v>219</v>
      </c>
      <c r="E824" t="s">
        <v>34</v>
      </c>
      <c r="F824">
        <v>2</v>
      </c>
      <c r="G824" s="1">
        <v>56</v>
      </c>
      <c r="H824" s="1">
        <v>22</v>
      </c>
      <c r="I824" s="5">
        <v>45968</v>
      </c>
      <c r="J824" t="s">
        <v>101</v>
      </c>
      <c r="K824" t="s">
        <v>35</v>
      </c>
      <c r="L824" t="s">
        <v>25</v>
      </c>
      <c r="M824" s="1">
        <f>(orders[[#This Row],[Revenue]]-orders[[#This Row],[Cost]])</f>
        <v>34</v>
      </c>
      <c r="N824" s="8">
        <f>IFERROR(orders[[#This Row],[profit]]/orders[[#This Row],[Revenue]],0)</f>
        <v>0.6071428571428571</v>
      </c>
      <c r="O824">
        <f>IF(orders[[#This Row],[Delivery Date]]="","",(orders[[#This Row],[Delivery Date]]-orders[[#This Row],[Date]]))</f>
        <v>4</v>
      </c>
      <c r="P824" t="str">
        <f>IF(orders[[#This Row],[delivery days]]="","Not Delivered",IF(orders[[#This Row],[delivery days]]&lt;=2,"Fast",IF(orders[[#This Row],[delivery days]]&lt;=5,"Normal","Delayed")))</f>
        <v>Normal</v>
      </c>
    </row>
    <row r="825" spans="1:16" x14ac:dyDescent="0.25">
      <c r="A825" t="s">
        <v>961</v>
      </c>
      <c r="B825" s="5">
        <v>45965</v>
      </c>
      <c r="C825" t="s">
        <v>67</v>
      </c>
      <c r="D825" t="s">
        <v>150</v>
      </c>
      <c r="E825" t="s">
        <v>77</v>
      </c>
      <c r="F825">
        <v>1</v>
      </c>
      <c r="G825" s="1">
        <v>85</v>
      </c>
      <c r="H825" s="1">
        <v>44</v>
      </c>
      <c r="I825" s="5"/>
      <c r="J825" t="s">
        <v>30</v>
      </c>
      <c r="K825" t="s">
        <v>35</v>
      </c>
      <c r="L825" t="s">
        <v>42</v>
      </c>
      <c r="M825" s="1">
        <f>(orders[[#This Row],[Revenue]]-orders[[#This Row],[Cost]])</f>
        <v>41</v>
      </c>
      <c r="N825" s="8">
        <f>IFERROR(orders[[#This Row],[profit]]/orders[[#This Row],[Revenue]],0)</f>
        <v>0.4823529411764706</v>
      </c>
      <c r="O825" t="str">
        <f>IF(orders[[#This Row],[Delivery Date]]="","",(orders[[#This Row],[Delivery Date]]-orders[[#This Row],[Date]]))</f>
        <v/>
      </c>
      <c r="P825" t="str">
        <f>IF(orders[[#This Row],[delivery days]]="","Not Delivered",IF(orders[[#This Row],[delivery days]]&lt;=2,"Fast",IF(orders[[#This Row],[delivery days]]&lt;=5,"Normal","Delayed")))</f>
        <v>Not Delivered</v>
      </c>
    </row>
    <row r="826" spans="1:16" x14ac:dyDescent="0.25">
      <c r="A826" t="s">
        <v>962</v>
      </c>
      <c r="B826" s="5">
        <v>45965</v>
      </c>
      <c r="C826" t="s">
        <v>259</v>
      </c>
      <c r="D826" t="s">
        <v>100</v>
      </c>
      <c r="E826" t="s">
        <v>34</v>
      </c>
      <c r="F826">
        <v>2</v>
      </c>
      <c r="G826" s="1">
        <v>104</v>
      </c>
      <c r="H826" s="1">
        <v>46</v>
      </c>
      <c r="I826" s="5">
        <v>45967</v>
      </c>
      <c r="J826" t="s">
        <v>101</v>
      </c>
      <c r="K826" t="s">
        <v>47</v>
      </c>
      <c r="L826" t="s">
        <v>25</v>
      </c>
      <c r="M826" s="1">
        <f>(orders[[#This Row],[Revenue]]-orders[[#This Row],[Cost]])</f>
        <v>58</v>
      </c>
      <c r="N826" s="8">
        <f>IFERROR(orders[[#This Row],[profit]]/orders[[#This Row],[Revenue]],0)</f>
        <v>0.55769230769230771</v>
      </c>
      <c r="O826">
        <f>IF(orders[[#This Row],[Delivery Date]]="","",(orders[[#This Row],[Delivery Date]]-orders[[#This Row],[Date]]))</f>
        <v>2</v>
      </c>
      <c r="P826" t="str">
        <f>IF(orders[[#This Row],[delivery days]]="","Not Delivered",IF(orders[[#This Row],[delivery days]]&lt;=2,"Fast",IF(orders[[#This Row],[delivery days]]&lt;=5,"Normal","Delayed")))</f>
        <v>Fast</v>
      </c>
    </row>
    <row r="827" spans="1:16" x14ac:dyDescent="0.25">
      <c r="A827" t="s">
        <v>963</v>
      </c>
      <c r="B827" s="5">
        <v>45965</v>
      </c>
      <c r="C827" t="s">
        <v>20</v>
      </c>
      <c r="D827" t="s">
        <v>38</v>
      </c>
      <c r="E827" t="s">
        <v>39</v>
      </c>
      <c r="F827">
        <v>1</v>
      </c>
      <c r="G827" s="1">
        <v>918</v>
      </c>
      <c r="H827" s="1">
        <v>610</v>
      </c>
      <c r="I827" s="5">
        <v>45966</v>
      </c>
      <c r="J827" t="s">
        <v>16</v>
      </c>
      <c r="K827" t="s">
        <v>35</v>
      </c>
      <c r="L827" t="s">
        <v>25</v>
      </c>
      <c r="M827" s="1">
        <f>(orders[[#This Row],[Revenue]]-orders[[#This Row],[Cost]])</f>
        <v>308</v>
      </c>
      <c r="N827" s="8">
        <f>IFERROR(orders[[#This Row],[profit]]/orders[[#This Row],[Revenue]],0)</f>
        <v>0.33551198257080611</v>
      </c>
      <c r="O827">
        <f>IF(orders[[#This Row],[Delivery Date]]="","",(orders[[#This Row],[Delivery Date]]-orders[[#This Row],[Date]]))</f>
        <v>1</v>
      </c>
      <c r="P827" t="str">
        <f>IF(orders[[#This Row],[delivery days]]="","Not Delivered",IF(orders[[#This Row],[delivery days]]&lt;=2,"Fast",IF(orders[[#This Row],[delivery days]]&lt;=5,"Normal","Delayed")))</f>
        <v>Fast</v>
      </c>
    </row>
    <row r="828" spans="1:16" x14ac:dyDescent="0.25">
      <c r="A828" t="s">
        <v>964</v>
      </c>
      <c r="B828" s="5">
        <v>45966</v>
      </c>
      <c r="C828" t="s">
        <v>124</v>
      </c>
      <c r="D828" t="s">
        <v>308</v>
      </c>
      <c r="E828" t="s">
        <v>22</v>
      </c>
      <c r="F828">
        <v>1</v>
      </c>
      <c r="G828" s="1">
        <v>75</v>
      </c>
      <c r="H828" s="1">
        <v>34.68</v>
      </c>
      <c r="I828" s="5">
        <v>45970</v>
      </c>
      <c r="J828" t="s">
        <v>46</v>
      </c>
      <c r="K828" t="s">
        <v>24</v>
      </c>
      <c r="L828" t="s">
        <v>25</v>
      </c>
      <c r="M828" s="1">
        <f>(orders[[#This Row],[Revenue]]-orders[[#This Row],[Cost]])</f>
        <v>40.32</v>
      </c>
      <c r="N828" s="8">
        <f>IFERROR(orders[[#This Row],[profit]]/orders[[#This Row],[Revenue]],0)</f>
        <v>0.53759999999999997</v>
      </c>
      <c r="O828">
        <f>IF(orders[[#This Row],[Delivery Date]]="","",(orders[[#This Row],[Delivery Date]]-orders[[#This Row],[Date]]))</f>
        <v>4</v>
      </c>
      <c r="P828" t="str">
        <f>IF(orders[[#This Row],[delivery days]]="","Not Delivered",IF(orders[[#This Row],[delivery days]]&lt;=2,"Fast",IF(orders[[#This Row],[delivery days]]&lt;=5,"Normal","Delayed")))</f>
        <v>Normal</v>
      </c>
    </row>
    <row r="829" spans="1:16" x14ac:dyDescent="0.25">
      <c r="A829" t="s">
        <v>965</v>
      </c>
      <c r="B829" s="5">
        <v>45966</v>
      </c>
      <c r="C829" t="s">
        <v>325</v>
      </c>
      <c r="D829" t="s">
        <v>83</v>
      </c>
      <c r="E829" t="s">
        <v>15</v>
      </c>
      <c r="F829">
        <v>2</v>
      </c>
      <c r="G829" s="1">
        <v>150</v>
      </c>
      <c r="H829" s="1">
        <v>76.44</v>
      </c>
      <c r="I829" s="5">
        <v>45968</v>
      </c>
      <c r="J829" t="s">
        <v>30</v>
      </c>
      <c r="K829" t="s">
        <v>17</v>
      </c>
      <c r="L829" t="s">
        <v>25</v>
      </c>
      <c r="M829" s="1">
        <f>(orders[[#This Row],[Revenue]]-orders[[#This Row],[Cost]])</f>
        <v>73.56</v>
      </c>
      <c r="N829" s="8">
        <f>IFERROR(orders[[#This Row],[profit]]/orders[[#This Row],[Revenue]],0)</f>
        <v>0.4904</v>
      </c>
      <c r="O829">
        <f>IF(orders[[#This Row],[Delivery Date]]="","",(orders[[#This Row],[Delivery Date]]-orders[[#This Row],[Date]]))</f>
        <v>2</v>
      </c>
      <c r="P829" t="str">
        <f>IF(orders[[#This Row],[delivery days]]="","Not Delivered",IF(orders[[#This Row],[delivery days]]&lt;=2,"Fast",IF(orders[[#This Row],[delivery days]]&lt;=5,"Normal","Delayed")))</f>
        <v>Fast</v>
      </c>
    </row>
    <row r="830" spans="1:16" x14ac:dyDescent="0.25">
      <c r="A830" t="s">
        <v>966</v>
      </c>
      <c r="B830" s="5">
        <v>45966</v>
      </c>
      <c r="C830" t="s">
        <v>228</v>
      </c>
      <c r="D830" t="s">
        <v>21</v>
      </c>
      <c r="E830" t="s">
        <v>22</v>
      </c>
      <c r="F830">
        <v>2</v>
      </c>
      <c r="G830" s="1">
        <v>64</v>
      </c>
      <c r="H830" s="1">
        <v>25.48</v>
      </c>
      <c r="I830" s="5">
        <v>45971</v>
      </c>
      <c r="J830" t="s">
        <v>30</v>
      </c>
      <c r="K830" t="s">
        <v>17</v>
      </c>
      <c r="L830" t="s">
        <v>25</v>
      </c>
      <c r="M830" s="1">
        <f>(orders[[#This Row],[Revenue]]-orders[[#This Row],[Cost]])</f>
        <v>38.519999999999996</v>
      </c>
      <c r="N830" s="8">
        <f>IFERROR(orders[[#This Row],[profit]]/orders[[#This Row],[Revenue]],0)</f>
        <v>0.60187499999999994</v>
      </c>
      <c r="O830">
        <f>IF(orders[[#This Row],[Delivery Date]]="","",(orders[[#This Row],[Delivery Date]]-orders[[#This Row],[Date]]))</f>
        <v>5</v>
      </c>
      <c r="P830" t="str">
        <f>IF(orders[[#This Row],[delivery days]]="","Not Delivered",IF(orders[[#This Row],[delivery days]]&lt;=2,"Fast",IF(orders[[#This Row],[delivery days]]&lt;=5,"Normal","Delayed")))</f>
        <v>Normal</v>
      </c>
    </row>
    <row r="831" spans="1:16" x14ac:dyDescent="0.25">
      <c r="A831" t="s">
        <v>967</v>
      </c>
      <c r="B831" s="5">
        <v>45967</v>
      </c>
      <c r="C831" t="s">
        <v>278</v>
      </c>
      <c r="D831" t="s">
        <v>270</v>
      </c>
      <c r="E831" t="s">
        <v>39</v>
      </c>
      <c r="F831">
        <v>1</v>
      </c>
      <c r="G831" s="1">
        <v>46.35</v>
      </c>
      <c r="H831" s="1">
        <v>22</v>
      </c>
      <c r="I831" s="5">
        <v>45971</v>
      </c>
      <c r="J831" t="s">
        <v>46</v>
      </c>
      <c r="K831" t="s">
        <v>24</v>
      </c>
      <c r="L831" t="s">
        <v>25</v>
      </c>
      <c r="M831" s="1">
        <f>(orders[[#This Row],[Revenue]]-orders[[#This Row],[Cost]])</f>
        <v>24.35</v>
      </c>
      <c r="N831" s="8">
        <f>IFERROR(orders[[#This Row],[profit]]/orders[[#This Row],[Revenue]],0)</f>
        <v>0.52535059331175837</v>
      </c>
      <c r="O831">
        <f>IF(orders[[#This Row],[Delivery Date]]="","",(orders[[#This Row],[Delivery Date]]-orders[[#This Row],[Date]]))</f>
        <v>4</v>
      </c>
      <c r="P831" t="str">
        <f>IF(orders[[#This Row],[delivery days]]="","Not Delivered",IF(orders[[#This Row],[delivery days]]&lt;=2,"Fast",IF(orders[[#This Row],[delivery days]]&lt;=5,"Normal","Delayed")))</f>
        <v>Normal</v>
      </c>
    </row>
    <row r="832" spans="1:16" x14ac:dyDescent="0.25">
      <c r="A832" t="s">
        <v>968</v>
      </c>
      <c r="B832" s="5">
        <v>45967</v>
      </c>
      <c r="C832" t="s">
        <v>32</v>
      </c>
      <c r="D832" t="s">
        <v>168</v>
      </c>
      <c r="E832" t="s">
        <v>29</v>
      </c>
      <c r="F832">
        <v>3</v>
      </c>
      <c r="G832" s="1">
        <v>66</v>
      </c>
      <c r="H832" s="1">
        <v>24</v>
      </c>
      <c r="I832" s="5">
        <v>45969</v>
      </c>
      <c r="J832" t="s">
        <v>101</v>
      </c>
      <c r="K832" t="s">
        <v>47</v>
      </c>
      <c r="L832" t="s">
        <v>25</v>
      </c>
      <c r="M832" s="1">
        <f>(orders[[#This Row],[Revenue]]-orders[[#This Row],[Cost]])</f>
        <v>42</v>
      </c>
      <c r="N832" s="8">
        <f>IFERROR(orders[[#This Row],[profit]]/orders[[#This Row],[Revenue]],0)</f>
        <v>0.63636363636363635</v>
      </c>
      <c r="O832">
        <f>IF(orders[[#This Row],[Delivery Date]]="","",(orders[[#This Row],[Delivery Date]]-orders[[#This Row],[Date]]))</f>
        <v>2</v>
      </c>
      <c r="P832" t="str">
        <f>IF(orders[[#This Row],[delivery days]]="","Not Delivered",IF(orders[[#This Row],[delivery days]]&lt;=2,"Fast",IF(orders[[#This Row],[delivery days]]&lt;=5,"Normal","Delayed")))</f>
        <v>Fast</v>
      </c>
    </row>
    <row r="833" spans="1:16" x14ac:dyDescent="0.25">
      <c r="A833" t="s">
        <v>969</v>
      </c>
      <c r="B833" s="5">
        <v>45968</v>
      </c>
      <c r="C833" t="s">
        <v>195</v>
      </c>
      <c r="D833" t="s">
        <v>289</v>
      </c>
      <c r="E833" t="s">
        <v>22</v>
      </c>
      <c r="F833">
        <v>1</v>
      </c>
      <c r="G833" s="1">
        <v>62</v>
      </c>
      <c r="H833" s="1">
        <v>28.42</v>
      </c>
      <c r="I833" s="5">
        <v>45969</v>
      </c>
      <c r="J833" t="s">
        <v>30</v>
      </c>
      <c r="K833" t="s">
        <v>35</v>
      </c>
      <c r="L833" t="s">
        <v>25</v>
      </c>
      <c r="M833" s="1">
        <f>(orders[[#This Row],[Revenue]]-orders[[#This Row],[Cost]])</f>
        <v>33.58</v>
      </c>
      <c r="N833" s="8">
        <f>IFERROR(orders[[#This Row],[profit]]/orders[[#This Row],[Revenue]],0)</f>
        <v>0.54161290322580646</v>
      </c>
      <c r="O833">
        <f>IF(orders[[#This Row],[Delivery Date]]="","",(orders[[#This Row],[Delivery Date]]-orders[[#This Row],[Date]]))</f>
        <v>1</v>
      </c>
      <c r="P833" t="str">
        <f>IF(orders[[#This Row],[delivery days]]="","Not Delivered",IF(orders[[#This Row],[delivery days]]&lt;=2,"Fast",IF(orders[[#This Row],[delivery days]]&lt;=5,"Normal","Delayed")))</f>
        <v>Fast</v>
      </c>
    </row>
    <row r="834" spans="1:16" x14ac:dyDescent="0.25">
      <c r="A834" t="s">
        <v>970</v>
      </c>
      <c r="B834" s="5">
        <v>45968</v>
      </c>
      <c r="C834" t="s">
        <v>487</v>
      </c>
      <c r="D834" t="s">
        <v>28</v>
      </c>
      <c r="E834" t="s">
        <v>29</v>
      </c>
      <c r="F834">
        <v>4</v>
      </c>
      <c r="G834" s="1">
        <v>103.68</v>
      </c>
      <c r="H834" s="1">
        <v>36</v>
      </c>
      <c r="I834" s="5">
        <v>45971</v>
      </c>
      <c r="J834" t="s">
        <v>30</v>
      </c>
      <c r="K834" t="s">
        <v>17</v>
      </c>
      <c r="L834" t="s">
        <v>25</v>
      </c>
      <c r="M834" s="1">
        <f>(orders[[#This Row],[Revenue]]-orders[[#This Row],[Cost]])</f>
        <v>67.680000000000007</v>
      </c>
      <c r="N834" s="8">
        <f>IFERROR(orders[[#This Row],[profit]]/orders[[#This Row],[Revenue]],0)</f>
        <v>0.65277777777777779</v>
      </c>
      <c r="O834">
        <f>IF(orders[[#This Row],[Delivery Date]]="","",(orders[[#This Row],[Delivery Date]]-orders[[#This Row],[Date]]))</f>
        <v>3</v>
      </c>
      <c r="P834" t="str">
        <f>IF(orders[[#This Row],[delivery days]]="","Not Delivered",IF(orders[[#This Row],[delivery days]]&lt;=2,"Fast",IF(orders[[#This Row],[delivery days]]&lt;=5,"Normal","Delayed")))</f>
        <v>Normal</v>
      </c>
    </row>
    <row r="835" spans="1:16" x14ac:dyDescent="0.25">
      <c r="A835" t="s">
        <v>971</v>
      </c>
      <c r="B835" s="5">
        <v>45968</v>
      </c>
      <c r="C835" t="s">
        <v>88</v>
      </c>
      <c r="D835" t="s">
        <v>208</v>
      </c>
      <c r="E835" t="s">
        <v>15</v>
      </c>
      <c r="F835">
        <v>2</v>
      </c>
      <c r="G835" s="1">
        <v>267.8</v>
      </c>
      <c r="H835" s="1">
        <v>155.04</v>
      </c>
      <c r="I835" s="5">
        <v>45974</v>
      </c>
      <c r="J835" t="s">
        <v>46</v>
      </c>
      <c r="K835" t="s">
        <v>24</v>
      </c>
      <c r="L835" t="s">
        <v>25</v>
      </c>
      <c r="M835" s="1">
        <f>(orders[[#This Row],[Revenue]]-orders[[#This Row],[Cost]])</f>
        <v>112.76000000000002</v>
      </c>
      <c r="N835" s="8">
        <f>IFERROR(orders[[#This Row],[profit]]/orders[[#This Row],[Revenue]],0)</f>
        <v>0.42106049290515313</v>
      </c>
      <c r="O835">
        <f>IF(orders[[#This Row],[Delivery Date]]="","",(orders[[#This Row],[Delivery Date]]-orders[[#This Row],[Date]]))</f>
        <v>6</v>
      </c>
      <c r="P835" t="str">
        <f>IF(orders[[#This Row],[delivery days]]="","Not Delivered",IF(orders[[#This Row],[delivery days]]&lt;=2,"Fast",IF(orders[[#This Row],[delivery days]]&lt;=5,"Normal","Delayed")))</f>
        <v>Delayed</v>
      </c>
    </row>
    <row r="836" spans="1:16" x14ac:dyDescent="0.25">
      <c r="A836" t="s">
        <v>972</v>
      </c>
      <c r="B836" s="5">
        <v>45968</v>
      </c>
      <c r="C836" t="s">
        <v>121</v>
      </c>
      <c r="D836" t="s">
        <v>33</v>
      </c>
      <c r="E836" t="s">
        <v>34</v>
      </c>
      <c r="F836">
        <v>1</v>
      </c>
      <c r="G836" s="1">
        <v>58</v>
      </c>
      <c r="H836" s="1">
        <v>25</v>
      </c>
      <c r="I836" s="5">
        <v>45972</v>
      </c>
      <c r="J836" t="s">
        <v>46</v>
      </c>
      <c r="K836" t="s">
        <v>24</v>
      </c>
      <c r="L836" t="s">
        <v>25</v>
      </c>
      <c r="M836" s="1">
        <f>(orders[[#This Row],[Revenue]]-orders[[#This Row],[Cost]])</f>
        <v>33</v>
      </c>
      <c r="N836" s="8">
        <f>IFERROR(orders[[#This Row],[profit]]/orders[[#This Row],[Revenue]],0)</f>
        <v>0.56896551724137934</v>
      </c>
      <c r="O836">
        <f>IF(orders[[#This Row],[Delivery Date]]="","",(orders[[#This Row],[Delivery Date]]-orders[[#This Row],[Date]]))</f>
        <v>4</v>
      </c>
      <c r="P836" t="str">
        <f>IF(orders[[#This Row],[delivery days]]="","Not Delivered",IF(orders[[#This Row],[delivery days]]&lt;=2,"Fast",IF(orders[[#This Row],[delivery days]]&lt;=5,"Normal","Delayed")))</f>
        <v>Normal</v>
      </c>
    </row>
    <row r="837" spans="1:16" x14ac:dyDescent="0.25">
      <c r="A837" t="s">
        <v>973</v>
      </c>
      <c r="B837" s="5">
        <v>45969</v>
      </c>
      <c r="C837" t="s">
        <v>20</v>
      </c>
      <c r="D837" t="s">
        <v>28</v>
      </c>
      <c r="E837" t="s">
        <v>29</v>
      </c>
      <c r="F837">
        <v>2</v>
      </c>
      <c r="G837" s="1">
        <v>48</v>
      </c>
      <c r="H837" s="1">
        <v>18</v>
      </c>
      <c r="I837" s="5">
        <v>45971</v>
      </c>
      <c r="J837" t="s">
        <v>16</v>
      </c>
      <c r="K837" t="s">
        <v>35</v>
      </c>
      <c r="L837" t="s">
        <v>25</v>
      </c>
      <c r="M837" s="1">
        <f>(orders[[#This Row],[Revenue]]-orders[[#This Row],[Cost]])</f>
        <v>30</v>
      </c>
      <c r="N837" s="8">
        <f>IFERROR(orders[[#This Row],[profit]]/orders[[#This Row],[Revenue]],0)</f>
        <v>0.625</v>
      </c>
      <c r="O837">
        <f>IF(orders[[#This Row],[Delivery Date]]="","",(orders[[#This Row],[Delivery Date]]-orders[[#This Row],[Date]]))</f>
        <v>2</v>
      </c>
      <c r="P837" t="str">
        <f>IF(orders[[#This Row],[delivery days]]="","Not Delivered",IF(orders[[#This Row],[delivery days]]&lt;=2,"Fast",IF(orders[[#This Row],[delivery days]]&lt;=5,"Normal","Delayed")))</f>
        <v>Fast</v>
      </c>
    </row>
    <row r="838" spans="1:16" x14ac:dyDescent="0.25">
      <c r="A838" t="s">
        <v>974</v>
      </c>
      <c r="B838" s="5">
        <v>45969</v>
      </c>
      <c r="C838" t="s">
        <v>217</v>
      </c>
      <c r="D838" t="s">
        <v>177</v>
      </c>
      <c r="E838" t="s">
        <v>34</v>
      </c>
      <c r="F838">
        <v>1</v>
      </c>
      <c r="G838" s="1">
        <v>145</v>
      </c>
      <c r="H838" s="1">
        <v>78</v>
      </c>
      <c r="I838" s="5"/>
      <c r="J838" t="s">
        <v>30</v>
      </c>
      <c r="K838" t="s">
        <v>35</v>
      </c>
      <c r="L838" t="s">
        <v>42</v>
      </c>
      <c r="M838" s="1">
        <f>(orders[[#This Row],[Revenue]]-orders[[#This Row],[Cost]])</f>
        <v>67</v>
      </c>
      <c r="N838" s="8">
        <f>IFERROR(orders[[#This Row],[profit]]/orders[[#This Row],[Revenue]],0)</f>
        <v>0.46206896551724136</v>
      </c>
      <c r="O838" t="str">
        <f>IF(orders[[#This Row],[Delivery Date]]="","",(orders[[#This Row],[Delivery Date]]-orders[[#This Row],[Date]]))</f>
        <v/>
      </c>
      <c r="P838" t="str">
        <f>IF(orders[[#This Row],[delivery days]]="","Not Delivered",IF(orders[[#This Row],[delivery days]]&lt;=2,"Fast",IF(orders[[#This Row],[delivery days]]&lt;=5,"Normal","Delayed")))</f>
        <v>Not Delivered</v>
      </c>
    </row>
    <row r="839" spans="1:16" x14ac:dyDescent="0.25">
      <c r="A839" t="s">
        <v>975</v>
      </c>
      <c r="B839" s="5">
        <v>45969</v>
      </c>
      <c r="C839" t="s">
        <v>259</v>
      </c>
      <c r="D839" t="s">
        <v>28</v>
      </c>
      <c r="E839" t="s">
        <v>29</v>
      </c>
      <c r="F839">
        <v>3</v>
      </c>
      <c r="G839" s="1">
        <v>72</v>
      </c>
      <c r="H839" s="1">
        <v>26.46</v>
      </c>
      <c r="I839" s="5">
        <v>45973</v>
      </c>
      <c r="J839" t="s">
        <v>101</v>
      </c>
      <c r="K839" t="s">
        <v>47</v>
      </c>
      <c r="L839" t="s">
        <v>25</v>
      </c>
      <c r="M839" s="1">
        <f>(orders[[#This Row],[Revenue]]-orders[[#This Row],[Cost]])</f>
        <v>45.54</v>
      </c>
      <c r="N839" s="8">
        <f>IFERROR(orders[[#This Row],[profit]]/orders[[#This Row],[Revenue]],0)</f>
        <v>0.63249999999999995</v>
      </c>
      <c r="O839">
        <f>IF(orders[[#This Row],[Delivery Date]]="","",(orders[[#This Row],[Delivery Date]]-orders[[#This Row],[Date]]))</f>
        <v>4</v>
      </c>
      <c r="P839" t="str">
        <f>IF(orders[[#This Row],[delivery days]]="","Not Delivered",IF(orders[[#This Row],[delivery days]]&lt;=2,"Fast",IF(orders[[#This Row],[delivery days]]&lt;=5,"Normal","Delayed")))</f>
        <v>Normal</v>
      </c>
    </row>
    <row r="840" spans="1:16" x14ac:dyDescent="0.25">
      <c r="A840" t="s">
        <v>976</v>
      </c>
      <c r="B840" s="5">
        <v>45969</v>
      </c>
      <c r="C840" t="s">
        <v>174</v>
      </c>
      <c r="D840" t="s">
        <v>70</v>
      </c>
      <c r="E840" t="s">
        <v>62</v>
      </c>
      <c r="F840">
        <v>1</v>
      </c>
      <c r="G840" s="1">
        <v>135</v>
      </c>
      <c r="H840" s="1">
        <v>79.56</v>
      </c>
      <c r="I840" s="5">
        <v>45973</v>
      </c>
      <c r="J840" t="s">
        <v>23</v>
      </c>
      <c r="K840" t="s">
        <v>24</v>
      </c>
      <c r="L840" t="s">
        <v>25</v>
      </c>
      <c r="M840" s="1">
        <f>(orders[[#This Row],[Revenue]]-orders[[#This Row],[Cost]])</f>
        <v>55.44</v>
      </c>
      <c r="N840" s="8">
        <f>IFERROR(orders[[#This Row],[profit]]/orders[[#This Row],[Revenue]],0)</f>
        <v>0.41066666666666662</v>
      </c>
      <c r="O840">
        <f>IF(orders[[#This Row],[Delivery Date]]="","",(orders[[#This Row],[Delivery Date]]-orders[[#This Row],[Date]]))</f>
        <v>4</v>
      </c>
      <c r="P840" t="str">
        <f>IF(orders[[#This Row],[delivery days]]="","Not Delivered",IF(orders[[#This Row],[delivery days]]&lt;=2,"Fast",IF(orders[[#This Row],[delivery days]]&lt;=5,"Normal","Delayed")))</f>
        <v>Normal</v>
      </c>
    </row>
    <row r="841" spans="1:16" x14ac:dyDescent="0.25">
      <c r="A841" t="s">
        <v>977</v>
      </c>
      <c r="B841" s="5">
        <v>45970</v>
      </c>
      <c r="C841" t="s">
        <v>200</v>
      </c>
      <c r="D841" t="s">
        <v>14</v>
      </c>
      <c r="E841" t="s">
        <v>15</v>
      </c>
      <c r="F841">
        <v>1</v>
      </c>
      <c r="G841" s="1">
        <v>25.75</v>
      </c>
      <c r="H841" s="1">
        <v>9</v>
      </c>
      <c r="I841" s="5">
        <v>45973</v>
      </c>
      <c r="J841" t="s">
        <v>30</v>
      </c>
      <c r="K841" t="s">
        <v>17</v>
      </c>
      <c r="L841" t="s">
        <v>25</v>
      </c>
      <c r="M841" s="1">
        <f>(orders[[#This Row],[Revenue]]-orders[[#This Row],[Cost]])</f>
        <v>16.75</v>
      </c>
      <c r="N841" s="8">
        <f>IFERROR(orders[[#This Row],[profit]]/orders[[#This Row],[Revenue]],0)</f>
        <v>0.65048543689320393</v>
      </c>
      <c r="O841">
        <f>IF(orders[[#This Row],[Delivery Date]]="","",(orders[[#This Row],[Delivery Date]]-orders[[#This Row],[Date]]))</f>
        <v>3</v>
      </c>
      <c r="P841" t="str">
        <f>IF(orders[[#This Row],[delivery days]]="","Not Delivered",IF(orders[[#This Row],[delivery days]]&lt;=2,"Fast",IF(orders[[#This Row],[delivery days]]&lt;=5,"Normal","Delayed")))</f>
        <v>Normal</v>
      </c>
    </row>
    <row r="842" spans="1:16" x14ac:dyDescent="0.25">
      <c r="A842" t="s">
        <v>978</v>
      </c>
      <c r="B842" s="5">
        <v>45970</v>
      </c>
      <c r="C842" t="s">
        <v>57</v>
      </c>
      <c r="D842" t="s">
        <v>97</v>
      </c>
      <c r="E842" t="s">
        <v>39</v>
      </c>
      <c r="F842">
        <v>1</v>
      </c>
      <c r="G842" s="1">
        <v>401.7</v>
      </c>
      <c r="H842" s="1">
        <v>260</v>
      </c>
      <c r="I842" s="5">
        <v>45971</v>
      </c>
      <c r="J842" t="s">
        <v>46</v>
      </c>
      <c r="K842" t="s">
        <v>47</v>
      </c>
      <c r="L842" t="s">
        <v>25</v>
      </c>
      <c r="M842" s="1">
        <f>(orders[[#This Row],[Revenue]]-orders[[#This Row],[Cost]])</f>
        <v>141.69999999999999</v>
      </c>
      <c r="N842" s="8">
        <f>IFERROR(orders[[#This Row],[profit]]/orders[[#This Row],[Revenue]],0)</f>
        <v>0.35275080906148865</v>
      </c>
      <c r="O842">
        <f>IF(orders[[#This Row],[Delivery Date]]="","",(orders[[#This Row],[Delivery Date]]-orders[[#This Row],[Date]]))</f>
        <v>1</v>
      </c>
      <c r="P842" t="str">
        <f>IF(orders[[#This Row],[delivery days]]="","Not Delivered",IF(orders[[#This Row],[delivery days]]&lt;=2,"Fast",IF(orders[[#This Row],[delivery days]]&lt;=5,"Normal","Delayed")))</f>
        <v>Fast</v>
      </c>
    </row>
    <row r="843" spans="1:16" x14ac:dyDescent="0.25">
      <c r="A843" t="s">
        <v>979</v>
      </c>
      <c r="B843" s="5">
        <v>45971</v>
      </c>
      <c r="C843" t="s">
        <v>155</v>
      </c>
      <c r="D843" t="s">
        <v>135</v>
      </c>
      <c r="E843" t="s">
        <v>62</v>
      </c>
      <c r="F843">
        <v>1</v>
      </c>
      <c r="G843" s="1">
        <v>115</v>
      </c>
      <c r="H843" s="1">
        <v>63</v>
      </c>
      <c r="I843" s="5">
        <v>45976</v>
      </c>
      <c r="J843" t="s">
        <v>46</v>
      </c>
      <c r="K843" t="s">
        <v>24</v>
      </c>
      <c r="L843" t="s">
        <v>25</v>
      </c>
      <c r="M843" s="1">
        <f>(orders[[#This Row],[Revenue]]-orders[[#This Row],[Cost]])</f>
        <v>52</v>
      </c>
      <c r="N843" s="8">
        <f>IFERROR(orders[[#This Row],[profit]]/orders[[#This Row],[Revenue]],0)</f>
        <v>0.45217391304347826</v>
      </c>
      <c r="O843">
        <f>IF(orders[[#This Row],[Delivery Date]]="","",(orders[[#This Row],[Delivery Date]]-orders[[#This Row],[Date]]))</f>
        <v>5</v>
      </c>
      <c r="P843" t="str">
        <f>IF(orders[[#This Row],[delivery days]]="","Not Delivered",IF(orders[[#This Row],[delivery days]]&lt;=2,"Fast",IF(orders[[#This Row],[delivery days]]&lt;=5,"Normal","Delayed")))</f>
        <v>Normal</v>
      </c>
    </row>
    <row r="844" spans="1:16" x14ac:dyDescent="0.25">
      <c r="A844" t="s">
        <v>980</v>
      </c>
      <c r="B844" s="5">
        <v>45971</v>
      </c>
      <c r="C844" t="s">
        <v>149</v>
      </c>
      <c r="D844" t="s">
        <v>125</v>
      </c>
      <c r="E844" t="s">
        <v>62</v>
      </c>
      <c r="F844">
        <v>2</v>
      </c>
      <c r="G844" s="1">
        <v>290</v>
      </c>
      <c r="H844" s="1">
        <v>164</v>
      </c>
      <c r="I844" s="5">
        <v>45974</v>
      </c>
      <c r="J844" t="s">
        <v>30</v>
      </c>
      <c r="K844" t="s">
        <v>35</v>
      </c>
      <c r="L844" t="s">
        <v>25</v>
      </c>
      <c r="M844" s="1">
        <f>(orders[[#This Row],[Revenue]]-orders[[#This Row],[Cost]])</f>
        <v>126</v>
      </c>
      <c r="N844" s="8">
        <f>IFERROR(orders[[#This Row],[profit]]/orders[[#This Row],[Revenue]],0)</f>
        <v>0.43448275862068964</v>
      </c>
      <c r="O844">
        <f>IF(orders[[#This Row],[Delivery Date]]="","",(orders[[#This Row],[Delivery Date]]-orders[[#This Row],[Date]]))</f>
        <v>3</v>
      </c>
      <c r="P844" t="str">
        <f>IF(orders[[#This Row],[delivery days]]="","Not Delivered",IF(orders[[#This Row],[delivery days]]&lt;=2,"Fast",IF(orders[[#This Row],[delivery days]]&lt;=5,"Normal","Delayed")))</f>
        <v>Normal</v>
      </c>
    </row>
    <row r="845" spans="1:16" x14ac:dyDescent="0.25">
      <c r="A845" t="s">
        <v>981</v>
      </c>
      <c r="B845" s="5">
        <v>45971</v>
      </c>
      <c r="C845" t="s">
        <v>382</v>
      </c>
      <c r="D845" t="s">
        <v>83</v>
      </c>
      <c r="E845" t="s">
        <v>15</v>
      </c>
      <c r="F845">
        <v>1</v>
      </c>
      <c r="G845" s="1">
        <v>69</v>
      </c>
      <c r="H845" s="1">
        <v>39</v>
      </c>
      <c r="I845" s="5">
        <v>45973</v>
      </c>
      <c r="J845" t="s">
        <v>46</v>
      </c>
      <c r="K845" t="s">
        <v>47</v>
      </c>
      <c r="L845" t="s">
        <v>25</v>
      </c>
      <c r="M845" s="1">
        <f>(orders[[#This Row],[Revenue]]-orders[[#This Row],[Cost]])</f>
        <v>30</v>
      </c>
      <c r="N845" s="8">
        <f>IFERROR(orders[[#This Row],[profit]]/orders[[#This Row],[Revenue]],0)</f>
        <v>0.43478260869565216</v>
      </c>
      <c r="O845">
        <f>IF(orders[[#This Row],[Delivery Date]]="","",(orders[[#This Row],[Delivery Date]]-orders[[#This Row],[Date]]))</f>
        <v>2</v>
      </c>
      <c r="P845" t="str">
        <f>IF(orders[[#This Row],[delivery days]]="","Not Delivered",IF(orders[[#This Row],[delivery days]]&lt;=2,"Fast",IF(orders[[#This Row],[delivery days]]&lt;=5,"Normal","Delayed")))</f>
        <v>Fast</v>
      </c>
    </row>
    <row r="846" spans="1:16" x14ac:dyDescent="0.25">
      <c r="A846" t="s">
        <v>982</v>
      </c>
      <c r="B846" s="5">
        <v>45971</v>
      </c>
      <c r="C846" t="s">
        <v>184</v>
      </c>
      <c r="D846" t="s">
        <v>168</v>
      </c>
      <c r="E846" t="s">
        <v>29</v>
      </c>
      <c r="F846">
        <v>3</v>
      </c>
      <c r="G846" s="1">
        <v>64.02</v>
      </c>
      <c r="H846" s="1">
        <v>24</v>
      </c>
      <c r="I846" s="5">
        <v>45974</v>
      </c>
      <c r="J846" t="s">
        <v>101</v>
      </c>
      <c r="K846" t="s">
        <v>47</v>
      </c>
      <c r="L846" t="s">
        <v>25</v>
      </c>
      <c r="M846" s="1">
        <f>(orders[[#This Row],[Revenue]]-orders[[#This Row],[Cost]])</f>
        <v>40.019999999999996</v>
      </c>
      <c r="N846" s="8">
        <f>IFERROR(orders[[#This Row],[profit]]/orders[[#This Row],[Revenue]],0)</f>
        <v>0.6251171508903467</v>
      </c>
      <c r="O846">
        <f>IF(orders[[#This Row],[Delivery Date]]="","",(orders[[#This Row],[Delivery Date]]-orders[[#This Row],[Date]]))</f>
        <v>3</v>
      </c>
      <c r="P846" t="str">
        <f>IF(orders[[#This Row],[delivery days]]="","Not Delivered",IF(orders[[#This Row],[delivery days]]&lt;=2,"Fast",IF(orders[[#This Row],[delivery days]]&lt;=5,"Normal","Delayed")))</f>
        <v>Normal</v>
      </c>
    </row>
    <row r="847" spans="1:16" x14ac:dyDescent="0.25">
      <c r="A847" t="s">
        <v>983</v>
      </c>
      <c r="B847" s="5">
        <v>45972</v>
      </c>
      <c r="C847" t="s">
        <v>54</v>
      </c>
      <c r="D847" t="s">
        <v>135</v>
      </c>
      <c r="E847" t="s">
        <v>62</v>
      </c>
      <c r="F847">
        <v>1</v>
      </c>
      <c r="G847" s="1">
        <v>115</v>
      </c>
      <c r="H847" s="1">
        <v>63</v>
      </c>
      <c r="I847" s="5">
        <v>45975</v>
      </c>
      <c r="J847" t="s">
        <v>30</v>
      </c>
      <c r="K847" t="s">
        <v>17</v>
      </c>
      <c r="L847" t="s">
        <v>25</v>
      </c>
      <c r="M847" s="1">
        <f>(orders[[#This Row],[Revenue]]-orders[[#This Row],[Cost]])</f>
        <v>52</v>
      </c>
      <c r="N847" s="8">
        <f>IFERROR(orders[[#This Row],[profit]]/orders[[#This Row],[Revenue]],0)</f>
        <v>0.45217391304347826</v>
      </c>
      <c r="O847">
        <f>IF(orders[[#This Row],[Delivery Date]]="","",(orders[[#This Row],[Delivery Date]]-orders[[#This Row],[Date]]))</f>
        <v>3</v>
      </c>
      <c r="P847" t="str">
        <f>IF(orders[[#This Row],[delivery days]]="","Not Delivered",IF(orders[[#This Row],[delivery days]]&lt;=2,"Fast",IF(orders[[#This Row],[delivery days]]&lt;=5,"Normal","Delayed")))</f>
        <v>Normal</v>
      </c>
    </row>
    <row r="848" spans="1:16" x14ac:dyDescent="0.25">
      <c r="A848" t="s">
        <v>984</v>
      </c>
      <c r="B848" s="5">
        <v>45972</v>
      </c>
      <c r="C848" t="s">
        <v>246</v>
      </c>
      <c r="D848" t="s">
        <v>177</v>
      </c>
      <c r="E848" t="s">
        <v>34</v>
      </c>
      <c r="F848">
        <v>2</v>
      </c>
      <c r="G848" s="1">
        <v>290</v>
      </c>
      <c r="H848" s="1">
        <v>159.12</v>
      </c>
      <c r="I848" s="5">
        <v>45974</v>
      </c>
      <c r="J848" t="s">
        <v>23</v>
      </c>
      <c r="K848" t="s">
        <v>24</v>
      </c>
      <c r="L848" t="s">
        <v>18</v>
      </c>
      <c r="M848" s="1">
        <f>(orders[[#This Row],[Revenue]]-orders[[#This Row],[Cost]])</f>
        <v>130.88</v>
      </c>
      <c r="N848" s="8">
        <f>IFERROR(orders[[#This Row],[profit]]/orders[[#This Row],[Revenue]],0)</f>
        <v>0.4513103448275862</v>
      </c>
      <c r="O848">
        <f>IF(orders[[#This Row],[Delivery Date]]="","",(orders[[#This Row],[Delivery Date]]-orders[[#This Row],[Date]]))</f>
        <v>2</v>
      </c>
      <c r="P848" t="str">
        <f>IF(orders[[#This Row],[delivery days]]="","Not Delivered",IF(orders[[#This Row],[delivery days]]&lt;=2,"Fast",IF(orders[[#This Row],[delivery days]]&lt;=5,"Normal","Delayed")))</f>
        <v>Fast</v>
      </c>
    </row>
    <row r="849" spans="1:16" x14ac:dyDescent="0.25">
      <c r="A849" t="s">
        <v>985</v>
      </c>
      <c r="B849" s="5">
        <v>45973</v>
      </c>
      <c r="C849" t="s">
        <v>49</v>
      </c>
      <c r="D849" t="s">
        <v>51</v>
      </c>
      <c r="E849" t="s">
        <v>34</v>
      </c>
      <c r="F849">
        <v>2</v>
      </c>
      <c r="G849" s="1">
        <v>164.9</v>
      </c>
      <c r="H849" s="1">
        <v>84</v>
      </c>
      <c r="I849" s="5">
        <v>45979</v>
      </c>
      <c r="J849" t="s">
        <v>52</v>
      </c>
      <c r="K849" t="s">
        <v>24</v>
      </c>
      <c r="L849" t="s">
        <v>25</v>
      </c>
      <c r="M849" s="1">
        <f>(orders[[#This Row],[Revenue]]-orders[[#This Row],[Cost]])</f>
        <v>80.900000000000006</v>
      </c>
      <c r="N849" s="8">
        <f>IFERROR(orders[[#This Row],[profit]]/orders[[#This Row],[Revenue]],0)</f>
        <v>0.49060036385688299</v>
      </c>
      <c r="O849">
        <f>IF(orders[[#This Row],[Delivery Date]]="","",(orders[[#This Row],[Delivery Date]]-orders[[#This Row],[Date]]))</f>
        <v>6</v>
      </c>
      <c r="P849" t="str">
        <f>IF(orders[[#This Row],[delivery days]]="","Not Delivered",IF(orders[[#This Row],[delivery days]]&lt;=2,"Fast",IF(orders[[#This Row],[delivery days]]&lt;=5,"Normal","Delayed")))</f>
        <v>Delayed</v>
      </c>
    </row>
    <row r="850" spans="1:16" x14ac:dyDescent="0.25">
      <c r="A850" t="s">
        <v>986</v>
      </c>
      <c r="B850" s="5">
        <v>45973</v>
      </c>
      <c r="C850" t="s">
        <v>132</v>
      </c>
      <c r="D850" t="s">
        <v>163</v>
      </c>
      <c r="E850" t="s">
        <v>39</v>
      </c>
      <c r="F850">
        <v>2</v>
      </c>
      <c r="G850" s="1">
        <v>205.2</v>
      </c>
      <c r="H850" s="1">
        <v>104</v>
      </c>
      <c r="I850" s="5">
        <v>45977</v>
      </c>
      <c r="J850" t="s">
        <v>46</v>
      </c>
      <c r="K850" t="s">
        <v>24</v>
      </c>
      <c r="L850" t="s">
        <v>25</v>
      </c>
      <c r="M850" s="1">
        <f>(orders[[#This Row],[Revenue]]-orders[[#This Row],[Cost]])</f>
        <v>101.19999999999999</v>
      </c>
      <c r="N850" s="8">
        <f>IFERROR(orders[[#This Row],[profit]]/orders[[#This Row],[Revenue]],0)</f>
        <v>0.49317738791422999</v>
      </c>
      <c r="O850">
        <f>IF(orders[[#This Row],[Delivery Date]]="","",(orders[[#This Row],[Delivery Date]]-orders[[#This Row],[Date]]))</f>
        <v>4</v>
      </c>
      <c r="P850" t="str">
        <f>IF(orders[[#This Row],[delivery days]]="","Not Delivered",IF(orders[[#This Row],[delivery days]]&lt;=2,"Fast",IF(orders[[#This Row],[delivery days]]&lt;=5,"Normal","Delayed")))</f>
        <v>Normal</v>
      </c>
    </row>
    <row r="851" spans="1:16" x14ac:dyDescent="0.25">
      <c r="A851" t="s">
        <v>987</v>
      </c>
      <c r="B851" s="5">
        <v>45973</v>
      </c>
      <c r="C851" t="s">
        <v>278</v>
      </c>
      <c r="D851" t="s">
        <v>224</v>
      </c>
      <c r="E851" t="s">
        <v>77</v>
      </c>
      <c r="F851">
        <v>1</v>
      </c>
      <c r="G851" s="1">
        <v>135</v>
      </c>
      <c r="H851" s="1">
        <v>67</v>
      </c>
      <c r="I851" s="5">
        <v>45977</v>
      </c>
      <c r="J851" t="s">
        <v>46</v>
      </c>
      <c r="K851" t="s">
        <v>47</v>
      </c>
      <c r="L851" t="s">
        <v>25</v>
      </c>
      <c r="M851" s="1">
        <f>(orders[[#This Row],[Revenue]]-orders[[#This Row],[Cost]])</f>
        <v>68</v>
      </c>
      <c r="N851" s="8">
        <f>IFERROR(orders[[#This Row],[profit]]/orders[[#This Row],[Revenue]],0)</f>
        <v>0.50370370370370365</v>
      </c>
      <c r="O851">
        <f>IF(orders[[#This Row],[Delivery Date]]="","",(orders[[#This Row],[Delivery Date]]-orders[[#This Row],[Date]]))</f>
        <v>4</v>
      </c>
      <c r="P851" t="str">
        <f>IF(orders[[#This Row],[delivery days]]="","Not Delivered",IF(orders[[#This Row],[delivery days]]&lt;=2,"Fast",IF(orders[[#This Row],[delivery days]]&lt;=5,"Normal","Delayed")))</f>
        <v>Normal</v>
      </c>
    </row>
    <row r="852" spans="1:16" x14ac:dyDescent="0.25">
      <c r="A852" t="s">
        <v>988</v>
      </c>
      <c r="B852" s="5">
        <v>45974</v>
      </c>
      <c r="C852" t="s">
        <v>269</v>
      </c>
      <c r="D852" t="s">
        <v>168</v>
      </c>
      <c r="E852" t="s">
        <v>29</v>
      </c>
      <c r="F852">
        <v>1</v>
      </c>
      <c r="G852" s="1">
        <v>22</v>
      </c>
      <c r="H852" s="1">
        <v>7.84</v>
      </c>
      <c r="I852" s="5">
        <v>45975</v>
      </c>
      <c r="J852" t="s">
        <v>46</v>
      </c>
      <c r="K852" t="s">
        <v>47</v>
      </c>
      <c r="L852" t="s">
        <v>25</v>
      </c>
      <c r="M852" s="1">
        <f>(orders[[#This Row],[Revenue]]-orders[[#This Row],[Cost]])</f>
        <v>14.16</v>
      </c>
      <c r="N852" s="8">
        <f>IFERROR(orders[[#This Row],[profit]]/orders[[#This Row],[Revenue]],0)</f>
        <v>0.64363636363636367</v>
      </c>
      <c r="O852">
        <f>IF(orders[[#This Row],[Delivery Date]]="","",(orders[[#This Row],[Delivery Date]]-orders[[#This Row],[Date]]))</f>
        <v>1</v>
      </c>
      <c r="P852" t="str">
        <f>IF(orders[[#This Row],[delivery days]]="","Not Delivered",IF(orders[[#This Row],[delivery days]]&lt;=2,"Fast",IF(orders[[#This Row],[delivery days]]&lt;=5,"Normal","Delayed")))</f>
        <v>Fast</v>
      </c>
    </row>
    <row r="853" spans="1:16" x14ac:dyDescent="0.25">
      <c r="A853" t="s">
        <v>989</v>
      </c>
      <c r="B853" s="5">
        <v>45974</v>
      </c>
      <c r="C853" t="s">
        <v>44</v>
      </c>
      <c r="D853" t="s">
        <v>235</v>
      </c>
      <c r="E853" t="s">
        <v>15</v>
      </c>
      <c r="F853">
        <v>1</v>
      </c>
      <c r="G853" s="1">
        <v>63.05</v>
      </c>
      <c r="H853" s="1">
        <v>31</v>
      </c>
      <c r="I853" s="5">
        <v>45977</v>
      </c>
      <c r="J853" t="s">
        <v>46</v>
      </c>
      <c r="K853" t="s">
        <v>24</v>
      </c>
      <c r="L853" t="s">
        <v>25</v>
      </c>
      <c r="M853" s="1">
        <f>(orders[[#This Row],[Revenue]]-orders[[#This Row],[Cost]])</f>
        <v>32.049999999999997</v>
      </c>
      <c r="N853" s="8">
        <f>IFERROR(orders[[#This Row],[profit]]/orders[[#This Row],[Revenue]],0)</f>
        <v>0.50832672482157015</v>
      </c>
      <c r="O853">
        <f>IF(orders[[#This Row],[Delivery Date]]="","",(orders[[#This Row],[Delivery Date]]-orders[[#This Row],[Date]]))</f>
        <v>3</v>
      </c>
      <c r="P853" t="str">
        <f>IF(orders[[#This Row],[delivery days]]="","Not Delivered",IF(orders[[#This Row],[delivery days]]&lt;=2,"Fast",IF(orders[[#This Row],[delivery days]]&lt;=5,"Normal","Delayed")))</f>
        <v>Normal</v>
      </c>
    </row>
    <row r="854" spans="1:16" x14ac:dyDescent="0.25">
      <c r="A854" t="s">
        <v>990</v>
      </c>
      <c r="B854" s="5">
        <v>45974</v>
      </c>
      <c r="C854" t="s">
        <v>181</v>
      </c>
      <c r="D854" t="s">
        <v>266</v>
      </c>
      <c r="E854" t="s">
        <v>22</v>
      </c>
      <c r="F854">
        <v>1</v>
      </c>
      <c r="G854" s="1">
        <v>18</v>
      </c>
      <c r="H854" s="1">
        <v>7</v>
      </c>
      <c r="I854" s="5">
        <v>45977</v>
      </c>
      <c r="J854" t="s">
        <v>30</v>
      </c>
      <c r="K854" t="s">
        <v>17</v>
      </c>
      <c r="L854" t="s">
        <v>25</v>
      </c>
      <c r="M854" s="1">
        <f>(orders[[#This Row],[Revenue]]-orders[[#This Row],[Cost]])</f>
        <v>11</v>
      </c>
      <c r="N854" s="8">
        <f>IFERROR(orders[[#This Row],[profit]]/orders[[#This Row],[Revenue]],0)</f>
        <v>0.61111111111111116</v>
      </c>
      <c r="O854">
        <f>IF(orders[[#This Row],[Delivery Date]]="","",(orders[[#This Row],[Delivery Date]]-orders[[#This Row],[Date]]))</f>
        <v>3</v>
      </c>
      <c r="P854" t="str">
        <f>IF(orders[[#This Row],[delivery days]]="","Not Delivered",IF(orders[[#This Row],[delivery days]]&lt;=2,"Fast",IF(orders[[#This Row],[delivery days]]&lt;=5,"Normal","Delayed")))</f>
        <v>Normal</v>
      </c>
    </row>
    <row r="855" spans="1:16" x14ac:dyDescent="0.25">
      <c r="A855" t="s">
        <v>991</v>
      </c>
      <c r="B855" s="5">
        <v>45975</v>
      </c>
      <c r="C855" t="s">
        <v>107</v>
      </c>
      <c r="D855" t="s">
        <v>28</v>
      </c>
      <c r="E855" t="s">
        <v>29</v>
      </c>
      <c r="F855">
        <v>4</v>
      </c>
      <c r="G855" s="1">
        <v>96</v>
      </c>
      <c r="H855" s="1">
        <v>36</v>
      </c>
      <c r="I855" s="5">
        <v>45980</v>
      </c>
      <c r="J855" t="s">
        <v>46</v>
      </c>
      <c r="K855" t="s">
        <v>24</v>
      </c>
      <c r="L855" t="s">
        <v>25</v>
      </c>
      <c r="M855" s="1">
        <f>(orders[[#This Row],[Revenue]]-orders[[#This Row],[Cost]])</f>
        <v>60</v>
      </c>
      <c r="N855" s="8">
        <f>IFERROR(orders[[#This Row],[profit]]/orders[[#This Row],[Revenue]],0)</f>
        <v>0.625</v>
      </c>
      <c r="O855">
        <f>IF(orders[[#This Row],[Delivery Date]]="","",(orders[[#This Row],[Delivery Date]]-orders[[#This Row],[Date]]))</f>
        <v>5</v>
      </c>
      <c r="P855" t="str">
        <f>IF(orders[[#This Row],[delivery days]]="","Not Delivered",IF(orders[[#This Row],[delivery days]]&lt;=2,"Fast",IF(orders[[#This Row],[delivery days]]&lt;=5,"Normal","Delayed")))</f>
        <v>Normal</v>
      </c>
    </row>
    <row r="856" spans="1:16" x14ac:dyDescent="0.25">
      <c r="A856" t="s">
        <v>992</v>
      </c>
      <c r="B856" s="5">
        <v>45975</v>
      </c>
      <c r="C856" t="s">
        <v>155</v>
      </c>
      <c r="D856" t="s">
        <v>33</v>
      </c>
      <c r="E856" t="s">
        <v>34</v>
      </c>
      <c r="F856">
        <v>2</v>
      </c>
      <c r="G856" s="1">
        <v>116</v>
      </c>
      <c r="H856" s="1">
        <v>50</v>
      </c>
      <c r="I856" s="5">
        <v>45977</v>
      </c>
      <c r="J856" t="s">
        <v>101</v>
      </c>
      <c r="K856" t="s">
        <v>47</v>
      </c>
      <c r="L856" t="s">
        <v>25</v>
      </c>
      <c r="M856" s="1">
        <f>(orders[[#This Row],[Revenue]]-orders[[#This Row],[Cost]])</f>
        <v>66</v>
      </c>
      <c r="N856" s="8">
        <f>IFERROR(orders[[#This Row],[profit]]/orders[[#This Row],[Revenue]],0)</f>
        <v>0.56896551724137934</v>
      </c>
      <c r="O856">
        <f>IF(orders[[#This Row],[Delivery Date]]="","",(orders[[#This Row],[Delivery Date]]-orders[[#This Row],[Date]]))</f>
        <v>2</v>
      </c>
      <c r="P856" t="str">
        <f>IF(orders[[#This Row],[delivery days]]="","Not Delivered",IF(orders[[#This Row],[delivery days]]&lt;=2,"Fast",IF(orders[[#This Row],[delivery days]]&lt;=5,"Normal","Delayed")))</f>
        <v>Fast</v>
      </c>
    </row>
    <row r="857" spans="1:16" x14ac:dyDescent="0.25">
      <c r="A857" t="s">
        <v>993</v>
      </c>
      <c r="B857" s="5">
        <v>45975</v>
      </c>
      <c r="C857" t="s">
        <v>174</v>
      </c>
      <c r="D857" t="s">
        <v>113</v>
      </c>
      <c r="E857" t="s">
        <v>15</v>
      </c>
      <c r="F857">
        <v>1</v>
      </c>
      <c r="G857" s="1">
        <v>95</v>
      </c>
      <c r="H857" s="1">
        <v>48</v>
      </c>
      <c r="I857" s="5">
        <v>45977</v>
      </c>
      <c r="J857" t="s">
        <v>23</v>
      </c>
      <c r="K857" t="s">
        <v>17</v>
      </c>
      <c r="L857" t="s">
        <v>25</v>
      </c>
      <c r="M857" s="1">
        <f>(orders[[#This Row],[Revenue]]-orders[[#This Row],[Cost]])</f>
        <v>47</v>
      </c>
      <c r="N857" s="8">
        <f>IFERROR(orders[[#This Row],[profit]]/orders[[#This Row],[Revenue]],0)</f>
        <v>0.49473684210526314</v>
      </c>
      <c r="O857">
        <f>IF(orders[[#This Row],[Delivery Date]]="","",(orders[[#This Row],[Delivery Date]]-orders[[#This Row],[Date]]))</f>
        <v>2</v>
      </c>
      <c r="P857" t="str">
        <f>IF(orders[[#This Row],[delivery days]]="","Not Delivered",IF(orders[[#This Row],[delivery days]]&lt;=2,"Fast",IF(orders[[#This Row],[delivery days]]&lt;=5,"Normal","Delayed")))</f>
        <v>Fast</v>
      </c>
    </row>
    <row r="858" spans="1:16" x14ac:dyDescent="0.25">
      <c r="A858" t="s">
        <v>994</v>
      </c>
      <c r="B858" s="5">
        <v>45976</v>
      </c>
      <c r="C858" t="s">
        <v>57</v>
      </c>
      <c r="D858" t="s">
        <v>179</v>
      </c>
      <c r="E858" t="s">
        <v>34</v>
      </c>
      <c r="F858">
        <v>3</v>
      </c>
      <c r="G858" s="1">
        <v>139.05000000000001</v>
      </c>
      <c r="H858" s="1">
        <v>57</v>
      </c>
      <c r="I858" s="5">
        <v>45981</v>
      </c>
      <c r="J858" t="s">
        <v>16</v>
      </c>
      <c r="K858" t="s">
        <v>17</v>
      </c>
      <c r="L858" t="s">
        <v>25</v>
      </c>
      <c r="M858" s="1">
        <f>(orders[[#This Row],[Revenue]]-orders[[#This Row],[Cost]])</f>
        <v>82.050000000000011</v>
      </c>
      <c r="N858" s="8">
        <f>IFERROR(orders[[#This Row],[profit]]/orders[[#This Row],[Revenue]],0)</f>
        <v>0.59007551240560951</v>
      </c>
      <c r="O858">
        <f>IF(orders[[#This Row],[Delivery Date]]="","",(orders[[#This Row],[Delivery Date]]-orders[[#This Row],[Date]]))</f>
        <v>5</v>
      </c>
      <c r="P858" t="str">
        <f>IF(orders[[#This Row],[delivery days]]="","Not Delivered",IF(orders[[#This Row],[delivery days]]&lt;=2,"Fast",IF(orders[[#This Row],[delivery days]]&lt;=5,"Normal","Delayed")))</f>
        <v>Normal</v>
      </c>
    </row>
    <row r="859" spans="1:16" x14ac:dyDescent="0.25">
      <c r="A859" t="s">
        <v>995</v>
      </c>
      <c r="B859" s="5">
        <v>45976</v>
      </c>
      <c r="C859" t="s">
        <v>41</v>
      </c>
      <c r="D859" t="s">
        <v>159</v>
      </c>
      <c r="E859" t="s">
        <v>39</v>
      </c>
      <c r="F859">
        <v>2</v>
      </c>
      <c r="G859" s="1">
        <v>202.4</v>
      </c>
      <c r="H859" s="1">
        <v>124</v>
      </c>
      <c r="I859" s="5">
        <v>45979</v>
      </c>
      <c r="J859" t="s">
        <v>16</v>
      </c>
      <c r="K859" t="s">
        <v>35</v>
      </c>
      <c r="L859" t="s">
        <v>25</v>
      </c>
      <c r="M859" s="1">
        <f>(orders[[#This Row],[Revenue]]-orders[[#This Row],[Cost]])</f>
        <v>78.400000000000006</v>
      </c>
      <c r="N859" s="8">
        <f>IFERROR(orders[[#This Row],[profit]]/orders[[#This Row],[Revenue]],0)</f>
        <v>0.38735177865612652</v>
      </c>
      <c r="O859">
        <f>IF(orders[[#This Row],[Delivery Date]]="","",(orders[[#This Row],[Delivery Date]]-orders[[#This Row],[Date]]))</f>
        <v>3</v>
      </c>
      <c r="P859" t="str">
        <f>IF(orders[[#This Row],[delivery days]]="","Not Delivered",IF(orders[[#This Row],[delivery days]]&lt;=2,"Fast",IF(orders[[#This Row],[delivery days]]&lt;=5,"Normal","Delayed")))</f>
        <v>Normal</v>
      </c>
    </row>
    <row r="860" spans="1:16" x14ac:dyDescent="0.25">
      <c r="A860" t="s">
        <v>996</v>
      </c>
      <c r="B860" s="5">
        <v>45977</v>
      </c>
      <c r="C860" t="s">
        <v>32</v>
      </c>
      <c r="D860" t="s">
        <v>125</v>
      </c>
      <c r="E860" t="s">
        <v>62</v>
      </c>
      <c r="F860">
        <v>1</v>
      </c>
      <c r="G860" s="1">
        <v>145</v>
      </c>
      <c r="H860" s="1">
        <v>82</v>
      </c>
      <c r="I860" s="5">
        <v>45980</v>
      </c>
      <c r="J860" t="s">
        <v>16</v>
      </c>
      <c r="K860" t="s">
        <v>35</v>
      </c>
      <c r="L860" t="s">
        <v>25</v>
      </c>
      <c r="M860" s="1">
        <f>(orders[[#This Row],[Revenue]]-orders[[#This Row],[Cost]])</f>
        <v>63</v>
      </c>
      <c r="N860" s="8">
        <f>IFERROR(orders[[#This Row],[profit]]/orders[[#This Row],[Revenue]],0)</f>
        <v>0.43448275862068964</v>
      </c>
      <c r="O860">
        <f>IF(orders[[#This Row],[Delivery Date]]="","",(orders[[#This Row],[Delivery Date]]-orders[[#This Row],[Date]]))</f>
        <v>3</v>
      </c>
      <c r="P860" t="str">
        <f>IF(orders[[#This Row],[delivery days]]="","Not Delivered",IF(orders[[#This Row],[delivery days]]&lt;=2,"Fast",IF(orders[[#This Row],[delivery days]]&lt;=5,"Normal","Delayed")))</f>
        <v>Normal</v>
      </c>
    </row>
    <row r="861" spans="1:16" x14ac:dyDescent="0.25">
      <c r="A861" t="s">
        <v>997</v>
      </c>
      <c r="B861" s="5">
        <v>45977</v>
      </c>
      <c r="C861" t="s">
        <v>246</v>
      </c>
      <c r="D861" t="s">
        <v>266</v>
      </c>
      <c r="E861" t="s">
        <v>22</v>
      </c>
      <c r="F861">
        <v>2</v>
      </c>
      <c r="G861" s="1">
        <v>37.08</v>
      </c>
      <c r="H861" s="1">
        <v>14</v>
      </c>
      <c r="I861" s="5">
        <v>45983</v>
      </c>
      <c r="J861" t="s">
        <v>16</v>
      </c>
      <c r="K861" t="s">
        <v>17</v>
      </c>
      <c r="L861" t="s">
        <v>25</v>
      </c>
      <c r="M861" s="1">
        <f>(orders[[#This Row],[Revenue]]-orders[[#This Row],[Cost]])</f>
        <v>23.08</v>
      </c>
      <c r="N861" s="8">
        <f>IFERROR(orders[[#This Row],[profit]]/orders[[#This Row],[Revenue]],0)</f>
        <v>0.62243797195253503</v>
      </c>
      <c r="O861">
        <f>IF(orders[[#This Row],[Delivery Date]]="","",(orders[[#This Row],[Delivery Date]]-orders[[#This Row],[Date]]))</f>
        <v>6</v>
      </c>
      <c r="P861" t="str">
        <f>IF(orders[[#This Row],[delivery days]]="","Not Delivered",IF(orders[[#This Row],[delivery days]]&lt;=2,"Fast",IF(orders[[#This Row],[delivery days]]&lt;=5,"Normal","Delayed")))</f>
        <v>Delayed</v>
      </c>
    </row>
    <row r="862" spans="1:16" x14ac:dyDescent="0.25">
      <c r="A862" t="s">
        <v>998</v>
      </c>
      <c r="B862" s="5">
        <v>45978</v>
      </c>
      <c r="C862" t="s">
        <v>228</v>
      </c>
      <c r="D862" t="s">
        <v>45</v>
      </c>
      <c r="E862" t="s">
        <v>34</v>
      </c>
      <c r="F862">
        <v>3</v>
      </c>
      <c r="G862" s="1">
        <v>209.52</v>
      </c>
      <c r="H862" s="1">
        <v>93</v>
      </c>
      <c r="I862" s="5">
        <v>45982</v>
      </c>
      <c r="J862" t="s">
        <v>16</v>
      </c>
      <c r="K862" t="s">
        <v>35</v>
      </c>
      <c r="L862" t="s">
        <v>25</v>
      </c>
      <c r="M862" s="1">
        <f>(orders[[#This Row],[Revenue]]-orders[[#This Row],[Cost]])</f>
        <v>116.52000000000001</v>
      </c>
      <c r="N862" s="8">
        <f>IFERROR(orders[[#This Row],[profit]]/orders[[#This Row],[Revenue]],0)</f>
        <v>0.55612829324169533</v>
      </c>
      <c r="O862">
        <f>IF(orders[[#This Row],[Delivery Date]]="","",(orders[[#This Row],[Delivery Date]]-orders[[#This Row],[Date]]))</f>
        <v>4</v>
      </c>
      <c r="P862" t="str">
        <f>IF(orders[[#This Row],[delivery days]]="","Not Delivered",IF(orders[[#This Row],[delivery days]]&lt;=2,"Fast",IF(orders[[#This Row],[delivery days]]&lt;=5,"Normal","Delayed")))</f>
        <v>Normal</v>
      </c>
    </row>
    <row r="863" spans="1:16" x14ac:dyDescent="0.25">
      <c r="A863" t="s">
        <v>999</v>
      </c>
      <c r="B863" s="5">
        <v>45978</v>
      </c>
      <c r="C863" t="s">
        <v>99</v>
      </c>
      <c r="D863" t="s">
        <v>70</v>
      </c>
      <c r="E863" t="s">
        <v>62</v>
      </c>
      <c r="F863">
        <v>2</v>
      </c>
      <c r="G863" s="1">
        <v>278.10000000000002</v>
      </c>
      <c r="H863" s="1">
        <v>156</v>
      </c>
      <c r="I863" s="5">
        <v>45981</v>
      </c>
      <c r="J863" t="s">
        <v>16</v>
      </c>
      <c r="K863" t="s">
        <v>17</v>
      </c>
      <c r="L863" t="s">
        <v>25</v>
      </c>
      <c r="M863" s="1">
        <f>(orders[[#This Row],[Revenue]]-orders[[#This Row],[Cost]])</f>
        <v>122.10000000000002</v>
      </c>
      <c r="N863" s="8">
        <f>IFERROR(orders[[#This Row],[profit]]/orders[[#This Row],[Revenue]],0)</f>
        <v>0.43905070118662354</v>
      </c>
      <c r="O863">
        <f>IF(orders[[#This Row],[Delivery Date]]="","",(orders[[#This Row],[Delivery Date]]-orders[[#This Row],[Date]]))</f>
        <v>3</v>
      </c>
      <c r="P863" t="str">
        <f>IF(orders[[#This Row],[delivery days]]="","Not Delivered",IF(orders[[#This Row],[delivery days]]&lt;=2,"Fast",IF(orders[[#This Row],[delivery days]]&lt;=5,"Normal","Delayed")))</f>
        <v>Normal</v>
      </c>
    </row>
    <row r="864" spans="1:16" x14ac:dyDescent="0.25">
      <c r="A864" t="s">
        <v>1000</v>
      </c>
      <c r="B864" s="5">
        <v>45978</v>
      </c>
      <c r="C864" t="s">
        <v>20</v>
      </c>
      <c r="D864" t="s">
        <v>127</v>
      </c>
      <c r="E864" t="s">
        <v>29</v>
      </c>
      <c r="F864">
        <v>3</v>
      </c>
      <c r="G864" s="1">
        <v>54</v>
      </c>
      <c r="H864" s="1">
        <v>18</v>
      </c>
      <c r="I864" s="5">
        <v>45982</v>
      </c>
      <c r="J864" t="s">
        <v>46</v>
      </c>
      <c r="K864" t="s">
        <v>24</v>
      </c>
      <c r="L864" t="s">
        <v>25</v>
      </c>
      <c r="M864" s="1">
        <f>(orders[[#This Row],[Revenue]]-orders[[#This Row],[Cost]])</f>
        <v>36</v>
      </c>
      <c r="N864" s="8">
        <f>IFERROR(orders[[#This Row],[profit]]/orders[[#This Row],[Revenue]],0)</f>
        <v>0.66666666666666663</v>
      </c>
      <c r="O864">
        <f>IF(orders[[#This Row],[Delivery Date]]="","",(orders[[#This Row],[Delivery Date]]-orders[[#This Row],[Date]]))</f>
        <v>4</v>
      </c>
      <c r="P864" t="str">
        <f>IF(orders[[#This Row],[delivery days]]="","Not Delivered",IF(orders[[#This Row],[delivery days]]&lt;=2,"Fast",IF(orders[[#This Row],[delivery days]]&lt;=5,"Normal","Delayed")))</f>
        <v>Normal</v>
      </c>
    </row>
    <row r="865" spans="1:16" x14ac:dyDescent="0.25">
      <c r="A865" t="s">
        <v>1001</v>
      </c>
      <c r="B865" s="5">
        <v>45978</v>
      </c>
      <c r="C865" t="s">
        <v>121</v>
      </c>
      <c r="D865" t="s">
        <v>125</v>
      </c>
      <c r="E865" t="s">
        <v>62</v>
      </c>
      <c r="F865">
        <v>1</v>
      </c>
      <c r="G865" s="1">
        <v>145</v>
      </c>
      <c r="H865" s="1">
        <v>82</v>
      </c>
      <c r="I865" s="5">
        <v>45981</v>
      </c>
      <c r="J865" t="s">
        <v>46</v>
      </c>
      <c r="K865" t="s">
        <v>47</v>
      </c>
      <c r="L865" t="s">
        <v>25</v>
      </c>
      <c r="M865" s="1">
        <f>(orders[[#This Row],[Revenue]]-orders[[#This Row],[Cost]])</f>
        <v>63</v>
      </c>
      <c r="N865" s="8">
        <f>IFERROR(orders[[#This Row],[profit]]/orders[[#This Row],[Revenue]],0)</f>
        <v>0.43448275862068964</v>
      </c>
      <c r="O865">
        <f>IF(orders[[#This Row],[Delivery Date]]="","",(orders[[#This Row],[Delivery Date]]-orders[[#This Row],[Date]]))</f>
        <v>3</v>
      </c>
      <c r="P865" t="str">
        <f>IF(orders[[#This Row],[delivery days]]="","Not Delivered",IF(orders[[#This Row],[delivery days]]&lt;=2,"Fast",IF(orders[[#This Row],[delivery days]]&lt;=5,"Normal","Delayed")))</f>
        <v>Normal</v>
      </c>
    </row>
    <row r="866" spans="1:16" x14ac:dyDescent="0.25">
      <c r="A866" t="s">
        <v>1002</v>
      </c>
      <c r="B866" s="5">
        <v>45978</v>
      </c>
      <c r="C866" t="s">
        <v>49</v>
      </c>
      <c r="D866" t="s">
        <v>38</v>
      </c>
      <c r="E866" t="s">
        <v>39</v>
      </c>
      <c r="F866">
        <v>4</v>
      </c>
      <c r="G866" s="1">
        <v>3400</v>
      </c>
      <c r="H866" s="1">
        <v>2440</v>
      </c>
      <c r="I866" s="5">
        <v>45982</v>
      </c>
      <c r="J866" t="s">
        <v>23</v>
      </c>
      <c r="K866" t="s">
        <v>24</v>
      </c>
      <c r="L866" t="s">
        <v>25</v>
      </c>
      <c r="M866" s="1">
        <f>(orders[[#This Row],[Revenue]]-orders[[#This Row],[Cost]])</f>
        <v>960</v>
      </c>
      <c r="N866" s="8">
        <f>IFERROR(orders[[#This Row],[profit]]/orders[[#This Row],[Revenue]],0)</f>
        <v>0.28235294117647058</v>
      </c>
      <c r="O866">
        <f>IF(orders[[#This Row],[Delivery Date]]="","",(orders[[#This Row],[Delivery Date]]-orders[[#This Row],[Date]]))</f>
        <v>4</v>
      </c>
      <c r="P866" t="str">
        <f>IF(orders[[#This Row],[delivery days]]="","Not Delivered",IF(orders[[#This Row],[delivery days]]&lt;=2,"Fast",IF(orders[[#This Row],[delivery days]]&lt;=5,"Normal","Delayed")))</f>
        <v>Normal</v>
      </c>
    </row>
    <row r="867" spans="1:16" x14ac:dyDescent="0.25">
      <c r="A867" t="s">
        <v>1003</v>
      </c>
      <c r="B867" s="5">
        <v>45979</v>
      </c>
      <c r="C867" t="s">
        <v>278</v>
      </c>
      <c r="D867" t="s">
        <v>65</v>
      </c>
      <c r="E867" t="s">
        <v>62</v>
      </c>
      <c r="F867">
        <v>1</v>
      </c>
      <c r="G867" s="1">
        <v>51.84</v>
      </c>
      <c r="H867" s="1">
        <v>21</v>
      </c>
      <c r="I867" s="5">
        <v>45982</v>
      </c>
      <c r="J867" t="s">
        <v>30</v>
      </c>
      <c r="K867" t="s">
        <v>35</v>
      </c>
      <c r="L867" t="s">
        <v>25</v>
      </c>
      <c r="M867" s="1">
        <f>(orders[[#This Row],[Revenue]]-orders[[#This Row],[Cost]])</f>
        <v>30.840000000000003</v>
      </c>
      <c r="N867" s="8">
        <f>IFERROR(orders[[#This Row],[profit]]/orders[[#This Row],[Revenue]],0)</f>
        <v>0.59490740740740744</v>
      </c>
      <c r="O867">
        <f>IF(orders[[#This Row],[Delivery Date]]="","",(orders[[#This Row],[Delivery Date]]-orders[[#This Row],[Date]]))</f>
        <v>3</v>
      </c>
      <c r="P867" t="str">
        <f>IF(orders[[#This Row],[delivery days]]="","Not Delivered",IF(orders[[#This Row],[delivery days]]&lt;=2,"Fast",IF(orders[[#This Row],[delivery days]]&lt;=5,"Normal","Delayed")))</f>
        <v>Normal</v>
      </c>
    </row>
    <row r="868" spans="1:16" x14ac:dyDescent="0.25">
      <c r="A868" t="s">
        <v>1004</v>
      </c>
      <c r="B868" s="5">
        <v>45979</v>
      </c>
      <c r="C868" t="s">
        <v>171</v>
      </c>
      <c r="D868" t="s">
        <v>86</v>
      </c>
      <c r="E868" t="s">
        <v>29</v>
      </c>
      <c r="F868">
        <v>1</v>
      </c>
      <c r="G868" s="1">
        <v>28.13</v>
      </c>
      <c r="H868" s="1">
        <v>11.76</v>
      </c>
      <c r="I868" s="5">
        <v>45982</v>
      </c>
      <c r="J868" t="s">
        <v>52</v>
      </c>
      <c r="K868" t="s">
        <v>47</v>
      </c>
      <c r="L868" t="s">
        <v>25</v>
      </c>
      <c r="M868" s="1">
        <f>(orders[[#This Row],[Revenue]]-orders[[#This Row],[Cost]])</f>
        <v>16.369999999999997</v>
      </c>
      <c r="N868" s="8">
        <f>IFERROR(orders[[#This Row],[profit]]/orders[[#This Row],[Revenue]],0)</f>
        <v>0.58194098826875218</v>
      </c>
      <c r="O868">
        <f>IF(orders[[#This Row],[Delivery Date]]="","",(orders[[#This Row],[Delivery Date]]-orders[[#This Row],[Date]]))</f>
        <v>3</v>
      </c>
      <c r="P868" t="str">
        <f>IF(orders[[#This Row],[delivery days]]="","Not Delivered",IF(orders[[#This Row],[delivery days]]&lt;=2,"Fast",IF(orders[[#This Row],[delivery days]]&lt;=5,"Normal","Delayed")))</f>
        <v>Normal</v>
      </c>
    </row>
    <row r="869" spans="1:16" x14ac:dyDescent="0.25">
      <c r="A869" t="s">
        <v>1005</v>
      </c>
      <c r="B869" s="5">
        <v>45979</v>
      </c>
      <c r="C869" t="s">
        <v>200</v>
      </c>
      <c r="D869" t="s">
        <v>14</v>
      </c>
      <c r="E869" t="s">
        <v>15</v>
      </c>
      <c r="F869">
        <v>1</v>
      </c>
      <c r="G869" s="1">
        <v>25</v>
      </c>
      <c r="H869" s="1">
        <v>9</v>
      </c>
      <c r="I869" s="5">
        <v>45983</v>
      </c>
      <c r="J869" t="s">
        <v>101</v>
      </c>
      <c r="K869" t="s">
        <v>47</v>
      </c>
      <c r="L869" t="s">
        <v>25</v>
      </c>
      <c r="M869" s="1">
        <f>(orders[[#This Row],[Revenue]]-orders[[#This Row],[Cost]])</f>
        <v>16</v>
      </c>
      <c r="N869" s="8">
        <f>IFERROR(orders[[#This Row],[profit]]/orders[[#This Row],[Revenue]],0)</f>
        <v>0.64</v>
      </c>
      <c r="O869">
        <f>IF(orders[[#This Row],[Delivery Date]]="","",(orders[[#This Row],[Delivery Date]]-orders[[#This Row],[Date]]))</f>
        <v>4</v>
      </c>
      <c r="P869" t="str">
        <f>IF(orders[[#This Row],[delivery days]]="","Not Delivered",IF(orders[[#This Row],[delivery days]]&lt;=2,"Fast",IF(orders[[#This Row],[delivery days]]&lt;=5,"Normal","Delayed")))</f>
        <v>Normal</v>
      </c>
    </row>
    <row r="870" spans="1:16" x14ac:dyDescent="0.25">
      <c r="A870" t="s">
        <v>1006</v>
      </c>
      <c r="B870" s="5">
        <v>45979</v>
      </c>
      <c r="C870" t="s">
        <v>149</v>
      </c>
      <c r="D870" t="s">
        <v>65</v>
      </c>
      <c r="E870" t="s">
        <v>62</v>
      </c>
      <c r="F870">
        <v>1</v>
      </c>
      <c r="G870" s="1">
        <v>49.44</v>
      </c>
      <c r="H870" s="1">
        <v>21</v>
      </c>
      <c r="I870" s="5">
        <v>45981</v>
      </c>
      <c r="J870" t="s">
        <v>30</v>
      </c>
      <c r="K870" t="s">
        <v>17</v>
      </c>
      <c r="L870" t="s">
        <v>25</v>
      </c>
      <c r="M870" s="1">
        <f>(orders[[#This Row],[Revenue]]-orders[[#This Row],[Cost]])</f>
        <v>28.439999999999998</v>
      </c>
      <c r="N870" s="8">
        <f>IFERROR(orders[[#This Row],[profit]]/orders[[#This Row],[Revenue]],0)</f>
        <v>0.57524271844660191</v>
      </c>
      <c r="O870">
        <f>IF(orders[[#This Row],[Delivery Date]]="","",(orders[[#This Row],[Delivery Date]]-orders[[#This Row],[Date]]))</f>
        <v>2</v>
      </c>
      <c r="P870" t="str">
        <f>IF(orders[[#This Row],[delivery days]]="","Not Delivered",IF(orders[[#This Row],[delivery days]]&lt;=2,"Fast",IF(orders[[#This Row],[delivery days]]&lt;=5,"Normal","Delayed")))</f>
        <v>Fast</v>
      </c>
    </row>
    <row r="871" spans="1:16" x14ac:dyDescent="0.25">
      <c r="A871" t="s">
        <v>1007</v>
      </c>
      <c r="B871" s="5">
        <v>45980</v>
      </c>
      <c r="C871" t="s">
        <v>69</v>
      </c>
      <c r="D871" t="s">
        <v>159</v>
      </c>
      <c r="E871" t="s">
        <v>39</v>
      </c>
      <c r="F871">
        <v>3</v>
      </c>
      <c r="G871" s="1">
        <v>339.9</v>
      </c>
      <c r="H871" s="1">
        <v>186</v>
      </c>
      <c r="I871" s="5">
        <v>45983</v>
      </c>
      <c r="J871" t="s">
        <v>46</v>
      </c>
      <c r="K871" t="s">
        <v>24</v>
      </c>
      <c r="L871" t="s">
        <v>25</v>
      </c>
      <c r="M871" s="1">
        <f>(orders[[#This Row],[Revenue]]-orders[[#This Row],[Cost]])</f>
        <v>153.89999999999998</v>
      </c>
      <c r="N871" s="8">
        <f>IFERROR(orders[[#This Row],[profit]]/orders[[#This Row],[Revenue]],0)</f>
        <v>0.45278022947925856</v>
      </c>
      <c r="O871">
        <f>IF(orders[[#This Row],[Delivery Date]]="","",(orders[[#This Row],[Delivery Date]]-orders[[#This Row],[Date]]))</f>
        <v>3</v>
      </c>
      <c r="P871" t="str">
        <f>IF(orders[[#This Row],[delivery days]]="","Not Delivered",IF(orders[[#This Row],[delivery days]]&lt;=2,"Fast",IF(orders[[#This Row],[delivery days]]&lt;=5,"Normal","Delayed")))</f>
        <v>Normal</v>
      </c>
    </row>
    <row r="872" spans="1:16" x14ac:dyDescent="0.25">
      <c r="A872" t="s">
        <v>1008</v>
      </c>
      <c r="B872" s="5">
        <v>45980</v>
      </c>
      <c r="C872" t="s">
        <v>181</v>
      </c>
      <c r="D872" t="s">
        <v>33</v>
      </c>
      <c r="E872" t="s">
        <v>34</v>
      </c>
      <c r="F872">
        <v>1</v>
      </c>
      <c r="G872" s="1">
        <v>56.26</v>
      </c>
      <c r="H872" s="1">
        <v>25</v>
      </c>
      <c r="I872" s="5">
        <v>45981</v>
      </c>
      <c r="J872" t="s">
        <v>16</v>
      </c>
      <c r="K872" t="s">
        <v>35</v>
      </c>
      <c r="L872" t="s">
        <v>25</v>
      </c>
      <c r="M872" s="1">
        <f>(orders[[#This Row],[Revenue]]-orders[[#This Row],[Cost]])</f>
        <v>31.259999999999998</v>
      </c>
      <c r="N872" s="8">
        <f>IFERROR(orders[[#This Row],[profit]]/orders[[#This Row],[Revenue]],0)</f>
        <v>0.55563455385709204</v>
      </c>
      <c r="O872">
        <f>IF(orders[[#This Row],[Delivery Date]]="","",(orders[[#This Row],[Delivery Date]]-orders[[#This Row],[Date]]))</f>
        <v>1</v>
      </c>
      <c r="P872" t="str">
        <f>IF(orders[[#This Row],[delivery days]]="","Not Delivered",IF(orders[[#This Row],[delivery days]]&lt;=2,"Fast",IF(orders[[#This Row],[delivery days]]&lt;=5,"Normal","Delayed")))</f>
        <v>Fast</v>
      </c>
    </row>
    <row r="873" spans="1:16" x14ac:dyDescent="0.25">
      <c r="A873" t="s">
        <v>1009</v>
      </c>
      <c r="B873" s="5">
        <v>45980</v>
      </c>
      <c r="C873" t="s">
        <v>142</v>
      </c>
      <c r="D873" t="s">
        <v>86</v>
      </c>
      <c r="E873" t="s">
        <v>29</v>
      </c>
      <c r="F873">
        <v>1</v>
      </c>
      <c r="G873" s="1">
        <v>29</v>
      </c>
      <c r="H873" s="1">
        <v>12.24</v>
      </c>
      <c r="I873" s="5">
        <v>45986</v>
      </c>
      <c r="J873" t="s">
        <v>52</v>
      </c>
      <c r="K873" t="s">
        <v>24</v>
      </c>
      <c r="L873" t="s">
        <v>25</v>
      </c>
      <c r="M873" s="1">
        <f>(orders[[#This Row],[Revenue]]-orders[[#This Row],[Cost]])</f>
        <v>16.759999999999998</v>
      </c>
      <c r="N873" s="8">
        <f>IFERROR(orders[[#This Row],[profit]]/orders[[#This Row],[Revenue]],0)</f>
        <v>0.57793103448275851</v>
      </c>
      <c r="O873">
        <f>IF(orders[[#This Row],[Delivery Date]]="","",(orders[[#This Row],[Delivery Date]]-orders[[#This Row],[Date]]))</f>
        <v>6</v>
      </c>
      <c r="P873" t="str">
        <f>IF(orders[[#This Row],[delivery days]]="","Not Delivered",IF(orders[[#This Row],[delivery days]]&lt;=2,"Fast",IF(orders[[#This Row],[delivery days]]&lt;=5,"Normal","Delayed")))</f>
        <v>Delayed</v>
      </c>
    </row>
    <row r="874" spans="1:16" x14ac:dyDescent="0.25">
      <c r="A874" t="s">
        <v>1010</v>
      </c>
      <c r="B874" s="5">
        <v>45980</v>
      </c>
      <c r="C874" t="s">
        <v>228</v>
      </c>
      <c r="D874" t="s">
        <v>177</v>
      </c>
      <c r="E874" t="s">
        <v>34</v>
      </c>
      <c r="F874">
        <v>1</v>
      </c>
      <c r="G874" s="1">
        <v>149.35</v>
      </c>
      <c r="H874" s="1">
        <v>78</v>
      </c>
      <c r="I874" s="5">
        <v>45982</v>
      </c>
      <c r="J874" t="s">
        <v>16</v>
      </c>
      <c r="K874" t="s">
        <v>17</v>
      </c>
      <c r="L874" t="s">
        <v>25</v>
      </c>
      <c r="M874" s="1">
        <f>(orders[[#This Row],[Revenue]]-orders[[#This Row],[Cost]])</f>
        <v>71.349999999999994</v>
      </c>
      <c r="N874" s="8">
        <f>IFERROR(orders[[#This Row],[profit]]/orders[[#This Row],[Revenue]],0)</f>
        <v>0.47773685972547703</v>
      </c>
      <c r="O874">
        <f>IF(orders[[#This Row],[Delivery Date]]="","",(orders[[#This Row],[Delivery Date]]-orders[[#This Row],[Date]]))</f>
        <v>2</v>
      </c>
      <c r="P874" t="str">
        <f>IF(orders[[#This Row],[delivery days]]="","Not Delivered",IF(orders[[#This Row],[delivery days]]&lt;=2,"Fast",IF(orders[[#This Row],[delivery days]]&lt;=5,"Normal","Delayed")))</f>
        <v>Fast</v>
      </c>
    </row>
    <row r="875" spans="1:16" x14ac:dyDescent="0.25">
      <c r="A875" t="s">
        <v>1011</v>
      </c>
      <c r="B875" s="5">
        <v>45981</v>
      </c>
      <c r="C875" t="s">
        <v>20</v>
      </c>
      <c r="D875" t="s">
        <v>45</v>
      </c>
      <c r="E875" t="s">
        <v>34</v>
      </c>
      <c r="F875">
        <v>2</v>
      </c>
      <c r="G875" s="1">
        <v>144</v>
      </c>
      <c r="H875" s="1">
        <v>62</v>
      </c>
      <c r="I875" s="5">
        <v>45984</v>
      </c>
      <c r="J875" t="s">
        <v>16</v>
      </c>
      <c r="K875" t="s">
        <v>17</v>
      </c>
      <c r="L875" t="s">
        <v>25</v>
      </c>
      <c r="M875" s="1">
        <f>(orders[[#This Row],[Revenue]]-orders[[#This Row],[Cost]])</f>
        <v>82</v>
      </c>
      <c r="N875" s="8">
        <f>IFERROR(orders[[#This Row],[profit]]/orders[[#This Row],[Revenue]],0)</f>
        <v>0.56944444444444442</v>
      </c>
      <c r="O875">
        <f>IF(orders[[#This Row],[Delivery Date]]="","",(orders[[#This Row],[Delivery Date]]-orders[[#This Row],[Date]]))</f>
        <v>3</v>
      </c>
      <c r="P875" t="str">
        <f>IF(orders[[#This Row],[delivery days]]="","Not Delivered",IF(orders[[#This Row],[delivery days]]&lt;=2,"Fast",IF(orders[[#This Row],[delivery days]]&lt;=5,"Normal","Delayed")))</f>
        <v>Normal</v>
      </c>
    </row>
    <row r="876" spans="1:16" x14ac:dyDescent="0.25">
      <c r="A876" t="s">
        <v>1012</v>
      </c>
      <c r="B876" s="5">
        <v>45981</v>
      </c>
      <c r="C876" t="s">
        <v>243</v>
      </c>
      <c r="D876" t="s">
        <v>110</v>
      </c>
      <c r="E876" t="s">
        <v>39</v>
      </c>
      <c r="F876">
        <v>1</v>
      </c>
      <c r="G876" s="1">
        <v>210</v>
      </c>
      <c r="H876" s="1">
        <v>125</v>
      </c>
      <c r="I876" s="5">
        <v>45986</v>
      </c>
      <c r="J876" t="s">
        <v>30</v>
      </c>
      <c r="K876" t="s">
        <v>17</v>
      </c>
      <c r="L876" t="s">
        <v>25</v>
      </c>
      <c r="M876" s="1">
        <f>(orders[[#This Row],[Revenue]]-orders[[#This Row],[Cost]])</f>
        <v>85</v>
      </c>
      <c r="N876" s="8">
        <f>IFERROR(orders[[#This Row],[profit]]/orders[[#This Row],[Revenue]],0)</f>
        <v>0.40476190476190477</v>
      </c>
      <c r="O876">
        <f>IF(orders[[#This Row],[Delivery Date]]="","",(orders[[#This Row],[Delivery Date]]-orders[[#This Row],[Date]]))</f>
        <v>5</v>
      </c>
      <c r="P876" t="str">
        <f>IF(orders[[#This Row],[delivery days]]="","Not Delivered",IF(orders[[#This Row],[delivery days]]&lt;=2,"Fast",IF(orders[[#This Row],[delivery days]]&lt;=5,"Normal","Delayed")))</f>
        <v>Normal</v>
      </c>
    </row>
    <row r="877" spans="1:16" x14ac:dyDescent="0.25">
      <c r="A877" t="s">
        <v>1013</v>
      </c>
      <c r="B877" s="5">
        <v>45981</v>
      </c>
      <c r="C877" t="s">
        <v>41</v>
      </c>
      <c r="D877" t="s">
        <v>235</v>
      </c>
      <c r="E877" t="s">
        <v>15</v>
      </c>
      <c r="F877">
        <v>2</v>
      </c>
      <c r="G877" s="1">
        <v>126.1</v>
      </c>
      <c r="H877" s="1">
        <v>62</v>
      </c>
      <c r="I877" s="5">
        <v>45982</v>
      </c>
      <c r="J877" t="s">
        <v>30</v>
      </c>
      <c r="K877" t="s">
        <v>17</v>
      </c>
      <c r="L877" t="s">
        <v>25</v>
      </c>
      <c r="M877" s="1">
        <f>(orders[[#This Row],[Revenue]]-orders[[#This Row],[Cost]])</f>
        <v>64.099999999999994</v>
      </c>
      <c r="N877" s="8">
        <f>IFERROR(orders[[#This Row],[profit]]/orders[[#This Row],[Revenue]],0)</f>
        <v>0.50832672482157015</v>
      </c>
      <c r="O877">
        <f>IF(orders[[#This Row],[Delivery Date]]="","",(orders[[#This Row],[Delivery Date]]-orders[[#This Row],[Date]]))</f>
        <v>1</v>
      </c>
      <c r="P877" t="str">
        <f>IF(orders[[#This Row],[delivery days]]="","Not Delivered",IF(orders[[#This Row],[delivery days]]&lt;=2,"Fast",IF(orders[[#This Row],[delivery days]]&lt;=5,"Normal","Delayed")))</f>
        <v>Fast</v>
      </c>
    </row>
    <row r="878" spans="1:16" x14ac:dyDescent="0.25">
      <c r="A878" t="s">
        <v>1014</v>
      </c>
      <c r="B878" s="5">
        <v>45983</v>
      </c>
      <c r="C878" t="s">
        <v>195</v>
      </c>
      <c r="D878" t="s">
        <v>14</v>
      </c>
      <c r="E878" t="s">
        <v>15</v>
      </c>
      <c r="F878">
        <v>1</v>
      </c>
      <c r="G878" s="1">
        <v>25.75</v>
      </c>
      <c r="H878" s="1">
        <v>9</v>
      </c>
      <c r="I878" s="5">
        <v>45987</v>
      </c>
      <c r="J878" t="s">
        <v>16</v>
      </c>
      <c r="K878" t="s">
        <v>17</v>
      </c>
      <c r="L878" t="s">
        <v>25</v>
      </c>
      <c r="M878" s="1">
        <f>(orders[[#This Row],[Revenue]]-orders[[#This Row],[Cost]])</f>
        <v>16.75</v>
      </c>
      <c r="N878" s="8">
        <f>IFERROR(orders[[#This Row],[profit]]/orders[[#This Row],[Revenue]],0)</f>
        <v>0.65048543689320393</v>
      </c>
      <c r="O878">
        <f>IF(orders[[#This Row],[Delivery Date]]="","",(orders[[#This Row],[Delivery Date]]-orders[[#This Row],[Date]]))</f>
        <v>4</v>
      </c>
      <c r="P878" t="str">
        <f>IF(orders[[#This Row],[delivery days]]="","Not Delivered",IF(orders[[#This Row],[delivery days]]&lt;=2,"Fast",IF(orders[[#This Row],[delivery days]]&lt;=5,"Normal","Delayed")))</f>
        <v>Normal</v>
      </c>
    </row>
    <row r="879" spans="1:16" x14ac:dyDescent="0.25">
      <c r="A879" t="s">
        <v>1015</v>
      </c>
      <c r="B879" s="5">
        <v>45983</v>
      </c>
      <c r="C879" t="s">
        <v>161</v>
      </c>
      <c r="D879" t="s">
        <v>125</v>
      </c>
      <c r="E879" t="s">
        <v>62</v>
      </c>
      <c r="F879">
        <v>2</v>
      </c>
      <c r="G879" s="1">
        <v>298.7</v>
      </c>
      <c r="H879" s="1">
        <v>164</v>
      </c>
      <c r="I879" s="5"/>
      <c r="J879" t="s">
        <v>46</v>
      </c>
      <c r="K879" t="s">
        <v>47</v>
      </c>
      <c r="L879" t="s">
        <v>103</v>
      </c>
      <c r="M879" s="1">
        <f>(orders[[#This Row],[Revenue]]-orders[[#This Row],[Cost]])</f>
        <v>134.69999999999999</v>
      </c>
      <c r="N879" s="8">
        <f>IFERROR(orders[[#This Row],[profit]]/orders[[#This Row],[Revenue]],0)</f>
        <v>0.45095413458319383</v>
      </c>
      <c r="O879" t="str">
        <f>IF(orders[[#This Row],[Delivery Date]]="","",(orders[[#This Row],[Delivery Date]]-orders[[#This Row],[Date]]))</f>
        <v/>
      </c>
      <c r="P879" t="str">
        <f>IF(orders[[#This Row],[delivery days]]="","Not Delivered",IF(orders[[#This Row],[delivery days]]&lt;=2,"Fast",IF(orders[[#This Row],[delivery days]]&lt;=5,"Normal","Delayed")))</f>
        <v>Not Delivered</v>
      </c>
    </row>
    <row r="880" spans="1:16" x14ac:dyDescent="0.25">
      <c r="A880" t="s">
        <v>1016</v>
      </c>
      <c r="B880" s="5">
        <v>45983</v>
      </c>
      <c r="C880" t="s">
        <v>228</v>
      </c>
      <c r="D880" t="s">
        <v>58</v>
      </c>
      <c r="E880" t="s">
        <v>39</v>
      </c>
      <c r="F880">
        <v>1</v>
      </c>
      <c r="G880" s="1">
        <v>1350</v>
      </c>
      <c r="H880" s="1">
        <v>900</v>
      </c>
      <c r="I880" s="5"/>
      <c r="J880" t="s">
        <v>30</v>
      </c>
      <c r="K880" t="s">
        <v>35</v>
      </c>
      <c r="L880" t="s">
        <v>42</v>
      </c>
      <c r="M880" s="1">
        <f>(orders[[#This Row],[Revenue]]-orders[[#This Row],[Cost]])</f>
        <v>450</v>
      </c>
      <c r="N880" s="8">
        <f>IFERROR(orders[[#This Row],[profit]]/orders[[#This Row],[Revenue]],0)</f>
        <v>0.33333333333333331</v>
      </c>
      <c r="O880" t="str">
        <f>IF(orders[[#This Row],[Delivery Date]]="","",(orders[[#This Row],[Delivery Date]]-orders[[#This Row],[Date]]))</f>
        <v/>
      </c>
      <c r="P880" t="str">
        <f>IF(orders[[#This Row],[delivery days]]="","Not Delivered",IF(orders[[#This Row],[delivery days]]&lt;=2,"Fast",IF(orders[[#This Row],[delivery days]]&lt;=5,"Normal","Delayed")))</f>
        <v>Not Delivered</v>
      </c>
    </row>
    <row r="881" spans="1:16" x14ac:dyDescent="0.25">
      <c r="A881" t="s">
        <v>1017</v>
      </c>
      <c r="B881" s="5">
        <v>45983</v>
      </c>
      <c r="C881" t="s">
        <v>96</v>
      </c>
      <c r="D881" t="s">
        <v>215</v>
      </c>
      <c r="E881" t="s">
        <v>62</v>
      </c>
      <c r="F881">
        <v>5</v>
      </c>
      <c r="G881" s="1">
        <v>1100</v>
      </c>
      <c r="H881" s="1">
        <v>710</v>
      </c>
      <c r="I881" s="5">
        <v>45987</v>
      </c>
      <c r="J881" t="s">
        <v>30</v>
      </c>
      <c r="K881" t="s">
        <v>17</v>
      </c>
      <c r="L881" t="s">
        <v>18</v>
      </c>
      <c r="M881" s="1">
        <f>(orders[[#This Row],[Revenue]]-orders[[#This Row],[Cost]])</f>
        <v>390</v>
      </c>
      <c r="N881" s="8">
        <f>IFERROR(orders[[#This Row],[profit]]/orders[[#This Row],[Revenue]],0)</f>
        <v>0.35454545454545455</v>
      </c>
      <c r="O881">
        <f>IF(orders[[#This Row],[Delivery Date]]="","",(orders[[#This Row],[Delivery Date]]-orders[[#This Row],[Date]]))</f>
        <v>4</v>
      </c>
      <c r="P881" t="str">
        <f>IF(orders[[#This Row],[delivery days]]="","Not Delivered",IF(orders[[#This Row],[delivery days]]&lt;=2,"Fast",IF(orders[[#This Row],[delivery days]]&lt;=5,"Normal","Delayed")))</f>
        <v>Normal</v>
      </c>
    </row>
    <row r="882" spans="1:16" x14ac:dyDescent="0.25">
      <c r="A882" t="s">
        <v>1018</v>
      </c>
      <c r="B882" s="5">
        <v>45984</v>
      </c>
      <c r="C882" t="s">
        <v>161</v>
      </c>
      <c r="D882" t="s">
        <v>86</v>
      </c>
      <c r="E882" t="s">
        <v>29</v>
      </c>
      <c r="F882">
        <v>1</v>
      </c>
      <c r="G882" s="1">
        <v>29</v>
      </c>
      <c r="H882" s="1">
        <v>11.76</v>
      </c>
      <c r="I882" s="5">
        <v>45988</v>
      </c>
      <c r="J882" t="s">
        <v>16</v>
      </c>
      <c r="K882" t="s">
        <v>17</v>
      </c>
      <c r="L882" t="s">
        <v>25</v>
      </c>
      <c r="M882" s="1">
        <f>(orders[[#This Row],[Revenue]]-orders[[#This Row],[Cost]])</f>
        <v>17.240000000000002</v>
      </c>
      <c r="N882" s="8">
        <f>IFERROR(orders[[#This Row],[profit]]/orders[[#This Row],[Revenue]],0)</f>
        <v>0.59448275862068978</v>
      </c>
      <c r="O882">
        <f>IF(orders[[#This Row],[Delivery Date]]="","",(orders[[#This Row],[Delivery Date]]-orders[[#This Row],[Date]]))</f>
        <v>4</v>
      </c>
      <c r="P882" t="str">
        <f>IF(orders[[#This Row],[delivery days]]="","Not Delivered",IF(orders[[#This Row],[delivery days]]&lt;=2,"Fast",IF(orders[[#This Row],[delivery days]]&lt;=5,"Normal","Delayed")))</f>
        <v>Normal</v>
      </c>
    </row>
    <row r="883" spans="1:16" x14ac:dyDescent="0.25">
      <c r="A883" t="s">
        <v>1019</v>
      </c>
      <c r="B883" s="5">
        <v>45984</v>
      </c>
      <c r="C883" t="s">
        <v>316</v>
      </c>
      <c r="D883" t="s">
        <v>219</v>
      </c>
      <c r="E883" t="s">
        <v>34</v>
      </c>
      <c r="F883">
        <v>2</v>
      </c>
      <c r="G883" s="1">
        <v>57.68</v>
      </c>
      <c r="H883" s="1">
        <v>21.56</v>
      </c>
      <c r="I883" s="5">
        <v>45985</v>
      </c>
      <c r="J883" t="s">
        <v>46</v>
      </c>
      <c r="K883" t="s">
        <v>47</v>
      </c>
      <c r="L883" t="s">
        <v>25</v>
      </c>
      <c r="M883" s="1">
        <f>(orders[[#This Row],[Revenue]]-orders[[#This Row],[Cost]])</f>
        <v>36.120000000000005</v>
      </c>
      <c r="N883" s="8">
        <f>IFERROR(orders[[#This Row],[profit]]/orders[[#This Row],[Revenue]],0)</f>
        <v>0.62621359223300976</v>
      </c>
      <c r="O883">
        <f>IF(orders[[#This Row],[Delivery Date]]="","",(orders[[#This Row],[Delivery Date]]-orders[[#This Row],[Date]]))</f>
        <v>1</v>
      </c>
      <c r="P883" t="str">
        <f>IF(orders[[#This Row],[delivery days]]="","Not Delivered",IF(orders[[#This Row],[delivery days]]&lt;=2,"Fast",IF(orders[[#This Row],[delivery days]]&lt;=5,"Normal","Delayed")))</f>
        <v>Fast</v>
      </c>
    </row>
    <row r="884" spans="1:16" x14ac:dyDescent="0.25">
      <c r="A884" t="s">
        <v>1020</v>
      </c>
      <c r="B884" s="5">
        <v>45984</v>
      </c>
      <c r="C884" t="s">
        <v>13</v>
      </c>
      <c r="D884" t="s">
        <v>28</v>
      </c>
      <c r="E884" t="s">
        <v>29</v>
      </c>
      <c r="F884">
        <v>2</v>
      </c>
      <c r="G884" s="1">
        <v>48</v>
      </c>
      <c r="H884" s="1">
        <v>18</v>
      </c>
      <c r="I884" s="5">
        <v>45987</v>
      </c>
      <c r="J884" t="s">
        <v>30</v>
      </c>
      <c r="K884" t="s">
        <v>17</v>
      </c>
      <c r="L884" t="s">
        <v>25</v>
      </c>
      <c r="M884" s="1">
        <f>(orders[[#This Row],[Revenue]]-orders[[#This Row],[Cost]])</f>
        <v>30</v>
      </c>
      <c r="N884" s="8">
        <f>IFERROR(orders[[#This Row],[profit]]/orders[[#This Row],[Revenue]],0)</f>
        <v>0.625</v>
      </c>
      <c r="O884">
        <f>IF(orders[[#This Row],[Delivery Date]]="","",(orders[[#This Row],[Delivery Date]]-orders[[#This Row],[Date]]))</f>
        <v>3</v>
      </c>
      <c r="P884" t="str">
        <f>IF(orders[[#This Row],[delivery days]]="","Not Delivered",IF(orders[[#This Row],[delivery days]]&lt;=2,"Fast",IF(orders[[#This Row],[delivery days]]&lt;=5,"Normal","Delayed")))</f>
        <v>Normal</v>
      </c>
    </row>
    <row r="885" spans="1:16" x14ac:dyDescent="0.25">
      <c r="A885" t="s">
        <v>1021</v>
      </c>
      <c r="B885" s="5">
        <v>45984</v>
      </c>
      <c r="C885" t="s">
        <v>316</v>
      </c>
      <c r="D885" t="s">
        <v>125</v>
      </c>
      <c r="E885" t="s">
        <v>62</v>
      </c>
      <c r="F885">
        <v>1</v>
      </c>
      <c r="G885" s="1">
        <v>145</v>
      </c>
      <c r="H885" s="1">
        <v>82</v>
      </c>
      <c r="I885" s="5">
        <v>45988</v>
      </c>
      <c r="J885" t="s">
        <v>30</v>
      </c>
      <c r="K885" t="s">
        <v>17</v>
      </c>
      <c r="L885" t="s">
        <v>25</v>
      </c>
      <c r="M885" s="1">
        <f>(orders[[#This Row],[Revenue]]-orders[[#This Row],[Cost]])</f>
        <v>63</v>
      </c>
      <c r="N885" s="8">
        <f>IFERROR(orders[[#This Row],[profit]]/orders[[#This Row],[Revenue]],0)</f>
        <v>0.43448275862068964</v>
      </c>
      <c r="O885">
        <f>IF(orders[[#This Row],[Delivery Date]]="","",(orders[[#This Row],[Delivery Date]]-orders[[#This Row],[Date]]))</f>
        <v>4</v>
      </c>
      <c r="P885" t="str">
        <f>IF(orders[[#This Row],[delivery days]]="","Not Delivered",IF(orders[[#This Row],[delivery days]]&lt;=2,"Fast",IF(orders[[#This Row],[delivery days]]&lt;=5,"Normal","Delayed")))</f>
        <v>Normal</v>
      </c>
    </row>
    <row r="886" spans="1:16" x14ac:dyDescent="0.25">
      <c r="A886" t="s">
        <v>1022</v>
      </c>
      <c r="B886" s="5">
        <v>45985</v>
      </c>
      <c r="C886" t="s">
        <v>49</v>
      </c>
      <c r="D886" t="s">
        <v>289</v>
      </c>
      <c r="E886" t="s">
        <v>22</v>
      </c>
      <c r="F886">
        <v>1</v>
      </c>
      <c r="G886" s="1">
        <v>62</v>
      </c>
      <c r="H886" s="1">
        <v>28.42</v>
      </c>
      <c r="I886" s="5">
        <v>45987</v>
      </c>
      <c r="J886" t="s">
        <v>30</v>
      </c>
      <c r="K886" t="s">
        <v>35</v>
      </c>
      <c r="L886" t="s">
        <v>25</v>
      </c>
      <c r="M886" s="1">
        <f>(orders[[#This Row],[Revenue]]-orders[[#This Row],[Cost]])</f>
        <v>33.58</v>
      </c>
      <c r="N886" s="8">
        <f>IFERROR(orders[[#This Row],[profit]]/orders[[#This Row],[Revenue]],0)</f>
        <v>0.54161290322580646</v>
      </c>
      <c r="O886">
        <f>IF(orders[[#This Row],[Delivery Date]]="","",(orders[[#This Row],[Delivery Date]]-orders[[#This Row],[Date]]))</f>
        <v>2</v>
      </c>
      <c r="P886" t="str">
        <f>IF(orders[[#This Row],[delivery days]]="","Not Delivered",IF(orders[[#This Row],[delivery days]]&lt;=2,"Fast",IF(orders[[#This Row],[delivery days]]&lt;=5,"Normal","Delayed")))</f>
        <v>Fast</v>
      </c>
    </row>
    <row r="887" spans="1:16" x14ac:dyDescent="0.25">
      <c r="A887" t="s">
        <v>1023</v>
      </c>
      <c r="B887" s="5">
        <v>45985</v>
      </c>
      <c r="C887" t="s">
        <v>487</v>
      </c>
      <c r="D887" t="s">
        <v>97</v>
      </c>
      <c r="E887" t="s">
        <v>39</v>
      </c>
      <c r="F887">
        <v>4</v>
      </c>
      <c r="G887" s="1">
        <v>1513.2</v>
      </c>
      <c r="H887" s="1">
        <v>1060.8</v>
      </c>
      <c r="I887" s="5">
        <v>45989</v>
      </c>
      <c r="J887" t="s">
        <v>23</v>
      </c>
      <c r="K887" t="s">
        <v>17</v>
      </c>
      <c r="L887" t="s">
        <v>25</v>
      </c>
      <c r="M887" s="1">
        <f>(orders[[#This Row],[Revenue]]-orders[[#This Row],[Cost]])</f>
        <v>452.40000000000009</v>
      </c>
      <c r="N887" s="8">
        <f>IFERROR(orders[[#This Row],[profit]]/orders[[#This Row],[Revenue]],0)</f>
        <v>0.2989690721649485</v>
      </c>
      <c r="O887">
        <f>IF(orders[[#This Row],[Delivery Date]]="","",(orders[[#This Row],[Delivery Date]]-orders[[#This Row],[Date]]))</f>
        <v>4</v>
      </c>
      <c r="P887" t="str">
        <f>IF(orders[[#This Row],[delivery days]]="","Not Delivered",IF(orders[[#This Row],[delivery days]]&lt;=2,"Fast",IF(orders[[#This Row],[delivery days]]&lt;=5,"Normal","Delayed")))</f>
        <v>Normal</v>
      </c>
    </row>
    <row r="888" spans="1:16" x14ac:dyDescent="0.25">
      <c r="A888" t="s">
        <v>1024</v>
      </c>
      <c r="B888" s="5">
        <v>45985</v>
      </c>
      <c r="C888" t="s">
        <v>27</v>
      </c>
      <c r="D888" t="s">
        <v>38</v>
      </c>
      <c r="E888" t="s">
        <v>39</v>
      </c>
      <c r="F888">
        <v>1</v>
      </c>
      <c r="G888" s="1">
        <v>918</v>
      </c>
      <c r="H888" s="1">
        <v>610</v>
      </c>
      <c r="I888" s="5">
        <v>45989</v>
      </c>
      <c r="J888" t="s">
        <v>46</v>
      </c>
      <c r="K888" t="s">
        <v>47</v>
      </c>
      <c r="L888" t="s">
        <v>25</v>
      </c>
      <c r="M888" s="1">
        <f>(orders[[#This Row],[Revenue]]-orders[[#This Row],[Cost]])</f>
        <v>308</v>
      </c>
      <c r="N888" s="8">
        <f>IFERROR(orders[[#This Row],[profit]]/orders[[#This Row],[Revenue]],0)</f>
        <v>0.33551198257080611</v>
      </c>
      <c r="O888">
        <f>IF(orders[[#This Row],[Delivery Date]]="","",(orders[[#This Row],[Delivery Date]]-orders[[#This Row],[Date]]))</f>
        <v>4</v>
      </c>
      <c r="P888" t="str">
        <f>IF(orders[[#This Row],[delivery days]]="","Not Delivered",IF(orders[[#This Row],[delivery days]]&lt;=2,"Fast",IF(orders[[#This Row],[delivery days]]&lt;=5,"Normal","Delayed")))</f>
        <v>Normal</v>
      </c>
    </row>
    <row r="889" spans="1:16" x14ac:dyDescent="0.25">
      <c r="A889" t="s">
        <v>1025</v>
      </c>
      <c r="B889" s="5">
        <v>45986</v>
      </c>
      <c r="C889" t="s">
        <v>137</v>
      </c>
      <c r="D889" t="s">
        <v>153</v>
      </c>
      <c r="E889" t="s">
        <v>34</v>
      </c>
      <c r="F889">
        <v>1</v>
      </c>
      <c r="G889" s="1">
        <v>62.56</v>
      </c>
      <c r="H889" s="1">
        <v>32</v>
      </c>
      <c r="I889" s="5">
        <v>45990</v>
      </c>
      <c r="J889" t="s">
        <v>30</v>
      </c>
      <c r="K889" t="s">
        <v>17</v>
      </c>
      <c r="L889" t="s">
        <v>25</v>
      </c>
      <c r="M889" s="1">
        <f>(orders[[#This Row],[Revenue]]-orders[[#This Row],[Cost]])</f>
        <v>30.560000000000002</v>
      </c>
      <c r="N889" s="8">
        <f>IFERROR(orders[[#This Row],[profit]]/orders[[#This Row],[Revenue]],0)</f>
        <v>0.48849104859335041</v>
      </c>
      <c r="O889">
        <f>IF(orders[[#This Row],[Delivery Date]]="","",(orders[[#This Row],[Delivery Date]]-orders[[#This Row],[Date]]))</f>
        <v>4</v>
      </c>
      <c r="P889" t="str">
        <f>IF(orders[[#This Row],[delivery days]]="","Not Delivered",IF(orders[[#This Row],[delivery days]]&lt;=2,"Fast",IF(orders[[#This Row],[delivery days]]&lt;=5,"Normal","Delayed")))</f>
        <v>Normal</v>
      </c>
    </row>
    <row r="890" spans="1:16" x14ac:dyDescent="0.25">
      <c r="A890" t="s">
        <v>1026</v>
      </c>
      <c r="B890" s="5">
        <v>45986</v>
      </c>
      <c r="C890" t="s">
        <v>32</v>
      </c>
      <c r="D890" t="s">
        <v>83</v>
      </c>
      <c r="E890" t="s">
        <v>15</v>
      </c>
      <c r="F890">
        <v>5</v>
      </c>
      <c r="G890" s="1">
        <v>363.75</v>
      </c>
      <c r="H890" s="1">
        <v>195</v>
      </c>
      <c r="I890" s="5">
        <v>45990</v>
      </c>
      <c r="J890" t="s">
        <v>16</v>
      </c>
      <c r="K890" t="s">
        <v>17</v>
      </c>
      <c r="L890" t="s">
        <v>25</v>
      </c>
      <c r="M890" s="1">
        <f>(orders[[#This Row],[Revenue]]-orders[[#This Row],[Cost]])</f>
        <v>168.75</v>
      </c>
      <c r="N890" s="8">
        <f>IFERROR(orders[[#This Row],[profit]]/orders[[#This Row],[Revenue]],0)</f>
        <v>0.46391752577319589</v>
      </c>
      <c r="O890">
        <f>IF(orders[[#This Row],[Delivery Date]]="","",(orders[[#This Row],[Delivery Date]]-orders[[#This Row],[Date]]))</f>
        <v>4</v>
      </c>
      <c r="P890" t="str">
        <f>IF(orders[[#This Row],[delivery days]]="","Not Delivered",IF(orders[[#This Row],[delivery days]]&lt;=2,"Fast",IF(orders[[#This Row],[delivery days]]&lt;=5,"Normal","Delayed")))</f>
        <v>Normal</v>
      </c>
    </row>
    <row r="891" spans="1:16" x14ac:dyDescent="0.25">
      <c r="A891" t="s">
        <v>1027</v>
      </c>
      <c r="B891" s="5">
        <v>45986</v>
      </c>
      <c r="C891" t="s">
        <v>92</v>
      </c>
      <c r="D891" t="s">
        <v>58</v>
      </c>
      <c r="E891" t="s">
        <v>39</v>
      </c>
      <c r="F891">
        <v>1</v>
      </c>
      <c r="G891" s="1">
        <v>1250</v>
      </c>
      <c r="H891" s="1">
        <v>900</v>
      </c>
      <c r="I891" s="5">
        <v>45988</v>
      </c>
      <c r="J891" t="s">
        <v>46</v>
      </c>
      <c r="K891" t="s">
        <v>47</v>
      </c>
      <c r="L891" t="s">
        <v>25</v>
      </c>
      <c r="M891" s="1">
        <f>(orders[[#This Row],[Revenue]]-orders[[#This Row],[Cost]])</f>
        <v>350</v>
      </c>
      <c r="N891" s="8">
        <f>IFERROR(orders[[#This Row],[profit]]/orders[[#This Row],[Revenue]],0)</f>
        <v>0.28000000000000003</v>
      </c>
      <c r="O891">
        <f>IF(orders[[#This Row],[Delivery Date]]="","",(orders[[#This Row],[Delivery Date]]-orders[[#This Row],[Date]]))</f>
        <v>2</v>
      </c>
      <c r="P891" t="str">
        <f>IF(orders[[#This Row],[delivery days]]="","Not Delivered",IF(orders[[#This Row],[delivery days]]&lt;=2,"Fast",IF(orders[[#This Row],[delivery days]]&lt;=5,"Normal","Delayed")))</f>
        <v>Fast</v>
      </c>
    </row>
    <row r="892" spans="1:16" x14ac:dyDescent="0.25">
      <c r="A892" t="s">
        <v>1028</v>
      </c>
      <c r="B892" s="5">
        <v>45986</v>
      </c>
      <c r="C892" t="s">
        <v>181</v>
      </c>
      <c r="D892" t="s">
        <v>146</v>
      </c>
      <c r="E892" t="s">
        <v>22</v>
      </c>
      <c r="F892">
        <v>2</v>
      </c>
      <c r="G892" s="1">
        <v>190.08</v>
      </c>
      <c r="H892" s="1">
        <v>90</v>
      </c>
      <c r="I892" s="5">
        <v>45987</v>
      </c>
      <c r="J892" t="s">
        <v>23</v>
      </c>
      <c r="K892" t="s">
        <v>17</v>
      </c>
      <c r="L892" t="s">
        <v>25</v>
      </c>
      <c r="M892" s="1">
        <f>(orders[[#This Row],[Revenue]]-orders[[#This Row],[Cost]])</f>
        <v>100.08000000000001</v>
      </c>
      <c r="N892" s="8">
        <f>IFERROR(orders[[#This Row],[profit]]/orders[[#This Row],[Revenue]],0)</f>
        <v>0.52651515151515149</v>
      </c>
      <c r="O892">
        <f>IF(orders[[#This Row],[Delivery Date]]="","",(orders[[#This Row],[Delivery Date]]-orders[[#This Row],[Date]]))</f>
        <v>1</v>
      </c>
      <c r="P892" t="str">
        <f>IF(orders[[#This Row],[delivery days]]="","Not Delivered",IF(orders[[#This Row],[delivery days]]&lt;=2,"Fast",IF(orders[[#This Row],[delivery days]]&lt;=5,"Normal","Delayed")))</f>
        <v>Fast</v>
      </c>
    </row>
    <row r="893" spans="1:16" x14ac:dyDescent="0.25">
      <c r="A893" t="s">
        <v>1029</v>
      </c>
      <c r="B893" s="5">
        <v>45987</v>
      </c>
      <c r="C893" t="s">
        <v>325</v>
      </c>
      <c r="D893" t="s">
        <v>65</v>
      </c>
      <c r="E893" t="s">
        <v>62</v>
      </c>
      <c r="F893">
        <v>2</v>
      </c>
      <c r="G893" s="1">
        <v>96</v>
      </c>
      <c r="H893" s="1">
        <v>42</v>
      </c>
      <c r="I893" s="5">
        <v>45991</v>
      </c>
      <c r="J893" t="s">
        <v>101</v>
      </c>
      <c r="K893" t="s">
        <v>35</v>
      </c>
      <c r="L893" t="s">
        <v>25</v>
      </c>
      <c r="M893" s="1">
        <f>(orders[[#This Row],[Revenue]]-orders[[#This Row],[Cost]])</f>
        <v>54</v>
      </c>
      <c r="N893" s="8">
        <f>IFERROR(orders[[#This Row],[profit]]/orders[[#This Row],[Revenue]],0)</f>
        <v>0.5625</v>
      </c>
      <c r="O893">
        <f>IF(orders[[#This Row],[Delivery Date]]="","",(orders[[#This Row],[Delivery Date]]-orders[[#This Row],[Date]]))</f>
        <v>4</v>
      </c>
      <c r="P893" t="str">
        <f>IF(orders[[#This Row],[delivery days]]="","Not Delivered",IF(orders[[#This Row],[delivery days]]&lt;=2,"Fast",IF(orders[[#This Row],[delivery days]]&lt;=5,"Normal","Delayed")))</f>
        <v>Normal</v>
      </c>
    </row>
    <row r="894" spans="1:16" x14ac:dyDescent="0.25">
      <c r="A894" t="s">
        <v>1030</v>
      </c>
      <c r="B894" s="5">
        <v>45987</v>
      </c>
      <c r="C894" t="s">
        <v>99</v>
      </c>
      <c r="D894" t="s">
        <v>33</v>
      </c>
      <c r="E894" t="s">
        <v>34</v>
      </c>
      <c r="F894">
        <v>2</v>
      </c>
      <c r="G894" s="1">
        <v>116</v>
      </c>
      <c r="H894" s="1">
        <v>50</v>
      </c>
      <c r="I894" s="5">
        <v>45989</v>
      </c>
      <c r="J894" t="s">
        <v>30</v>
      </c>
      <c r="K894" t="s">
        <v>17</v>
      </c>
      <c r="L894" t="s">
        <v>25</v>
      </c>
      <c r="M894" s="1">
        <f>(orders[[#This Row],[Revenue]]-orders[[#This Row],[Cost]])</f>
        <v>66</v>
      </c>
      <c r="N894" s="8">
        <f>IFERROR(orders[[#This Row],[profit]]/orders[[#This Row],[Revenue]],0)</f>
        <v>0.56896551724137934</v>
      </c>
      <c r="O894">
        <f>IF(orders[[#This Row],[Delivery Date]]="","",(orders[[#This Row],[Delivery Date]]-orders[[#This Row],[Date]]))</f>
        <v>2</v>
      </c>
      <c r="P894" t="str">
        <f>IF(orders[[#This Row],[delivery days]]="","Not Delivered",IF(orders[[#This Row],[delivery days]]&lt;=2,"Fast",IF(orders[[#This Row],[delivery days]]&lt;=5,"Normal","Delayed")))</f>
        <v>Fast</v>
      </c>
    </row>
    <row r="895" spans="1:16" x14ac:dyDescent="0.25">
      <c r="A895" t="s">
        <v>1031</v>
      </c>
      <c r="B895" s="5">
        <v>45988</v>
      </c>
      <c r="C895" t="s">
        <v>44</v>
      </c>
      <c r="D895" t="s">
        <v>168</v>
      </c>
      <c r="E895" t="s">
        <v>29</v>
      </c>
      <c r="F895">
        <v>2</v>
      </c>
      <c r="G895" s="1">
        <v>42.68</v>
      </c>
      <c r="H895" s="1">
        <v>16</v>
      </c>
      <c r="I895" s="5">
        <v>45991</v>
      </c>
      <c r="J895" t="s">
        <v>46</v>
      </c>
      <c r="K895" t="s">
        <v>24</v>
      </c>
      <c r="L895" t="s">
        <v>25</v>
      </c>
      <c r="M895" s="1">
        <f>(orders[[#This Row],[Revenue]]-orders[[#This Row],[Cost]])</f>
        <v>26.68</v>
      </c>
      <c r="N895" s="8">
        <f>IFERROR(orders[[#This Row],[profit]]/orders[[#This Row],[Revenue]],0)</f>
        <v>0.62511715089034681</v>
      </c>
      <c r="O895">
        <f>IF(orders[[#This Row],[Delivery Date]]="","",(orders[[#This Row],[Delivery Date]]-orders[[#This Row],[Date]]))</f>
        <v>3</v>
      </c>
      <c r="P895" t="str">
        <f>IF(orders[[#This Row],[delivery days]]="","Not Delivered",IF(orders[[#This Row],[delivery days]]&lt;=2,"Fast",IF(orders[[#This Row],[delivery days]]&lt;=5,"Normal","Delayed")))</f>
        <v>Normal</v>
      </c>
    </row>
    <row r="896" spans="1:16" x14ac:dyDescent="0.25">
      <c r="A896" t="s">
        <v>1032</v>
      </c>
      <c r="B896" s="5">
        <v>45988</v>
      </c>
      <c r="C896" t="s">
        <v>92</v>
      </c>
      <c r="D896" t="s">
        <v>108</v>
      </c>
      <c r="E896" t="s">
        <v>22</v>
      </c>
      <c r="F896">
        <v>2</v>
      </c>
      <c r="G896" s="1">
        <v>190</v>
      </c>
      <c r="H896" s="1">
        <v>82.32</v>
      </c>
      <c r="I896" s="5">
        <v>45991</v>
      </c>
      <c r="J896" t="s">
        <v>23</v>
      </c>
      <c r="K896" t="s">
        <v>17</v>
      </c>
      <c r="L896" t="s">
        <v>25</v>
      </c>
      <c r="M896" s="1">
        <f>(orders[[#This Row],[Revenue]]-orders[[#This Row],[Cost]])</f>
        <v>107.68</v>
      </c>
      <c r="N896" s="8">
        <f>IFERROR(orders[[#This Row],[profit]]/orders[[#This Row],[Revenue]],0)</f>
        <v>0.56673684210526321</v>
      </c>
      <c r="O896">
        <f>IF(orders[[#This Row],[Delivery Date]]="","",(orders[[#This Row],[Delivery Date]]-orders[[#This Row],[Date]]))</f>
        <v>3</v>
      </c>
      <c r="P896" t="str">
        <f>IF(orders[[#This Row],[delivery days]]="","Not Delivered",IF(orders[[#This Row],[delivery days]]&lt;=2,"Fast",IF(orders[[#This Row],[delivery days]]&lt;=5,"Normal","Delayed")))</f>
        <v>Normal</v>
      </c>
    </row>
    <row r="897" spans="1:16" x14ac:dyDescent="0.25">
      <c r="A897" t="s">
        <v>1033</v>
      </c>
      <c r="B897" s="5">
        <v>45988</v>
      </c>
      <c r="C897" t="s">
        <v>37</v>
      </c>
      <c r="D897" t="s">
        <v>153</v>
      </c>
      <c r="E897" t="s">
        <v>34</v>
      </c>
      <c r="F897">
        <v>1</v>
      </c>
      <c r="G897" s="1">
        <v>70.040000000000006</v>
      </c>
      <c r="H897" s="1">
        <v>32</v>
      </c>
      <c r="I897" s="5">
        <v>45992</v>
      </c>
      <c r="J897" t="s">
        <v>16</v>
      </c>
      <c r="K897" t="s">
        <v>17</v>
      </c>
      <c r="L897" t="s">
        <v>25</v>
      </c>
      <c r="M897" s="1">
        <f>(orders[[#This Row],[Revenue]]-orders[[#This Row],[Cost]])</f>
        <v>38.040000000000006</v>
      </c>
      <c r="N897" s="8">
        <f>IFERROR(orders[[#This Row],[profit]]/orders[[#This Row],[Revenue]],0)</f>
        <v>0.54311821816105088</v>
      </c>
      <c r="O897">
        <f>IF(orders[[#This Row],[Delivery Date]]="","",(orders[[#This Row],[Delivery Date]]-orders[[#This Row],[Date]]))</f>
        <v>4</v>
      </c>
      <c r="P897" t="str">
        <f>IF(orders[[#This Row],[delivery days]]="","Not Delivered",IF(orders[[#This Row],[delivery days]]&lt;=2,"Fast",IF(orders[[#This Row],[delivery days]]&lt;=5,"Normal","Delayed")))</f>
        <v>Normal</v>
      </c>
    </row>
    <row r="898" spans="1:16" x14ac:dyDescent="0.25">
      <c r="A898" t="s">
        <v>1034</v>
      </c>
      <c r="B898" s="5">
        <v>45988</v>
      </c>
      <c r="C898" t="s">
        <v>75</v>
      </c>
      <c r="D898" t="s">
        <v>108</v>
      </c>
      <c r="E898" t="s">
        <v>22</v>
      </c>
      <c r="F898">
        <v>1</v>
      </c>
      <c r="G898" s="1">
        <v>95</v>
      </c>
      <c r="H898" s="1">
        <v>42</v>
      </c>
      <c r="I898" s="5">
        <v>45991</v>
      </c>
      <c r="J898" t="s">
        <v>101</v>
      </c>
      <c r="K898" t="s">
        <v>47</v>
      </c>
      <c r="L898" t="s">
        <v>25</v>
      </c>
      <c r="M898" s="1">
        <f>(orders[[#This Row],[Revenue]]-orders[[#This Row],[Cost]])</f>
        <v>53</v>
      </c>
      <c r="N898" s="8">
        <f>IFERROR(orders[[#This Row],[profit]]/orders[[#This Row],[Revenue]],0)</f>
        <v>0.55789473684210522</v>
      </c>
      <c r="O898">
        <f>IF(orders[[#This Row],[Delivery Date]]="","",(orders[[#This Row],[Delivery Date]]-orders[[#This Row],[Date]]))</f>
        <v>3</v>
      </c>
      <c r="P898" t="str">
        <f>IF(orders[[#This Row],[delivery days]]="","Not Delivered",IF(orders[[#This Row],[delivery days]]&lt;=2,"Fast",IF(orders[[#This Row],[delivery days]]&lt;=5,"Normal","Delayed")))</f>
        <v>Normal</v>
      </c>
    </row>
    <row r="899" spans="1:16" x14ac:dyDescent="0.25">
      <c r="A899" t="s">
        <v>1035</v>
      </c>
      <c r="B899" s="5">
        <v>45989</v>
      </c>
      <c r="C899" t="s">
        <v>222</v>
      </c>
      <c r="D899" t="s">
        <v>300</v>
      </c>
      <c r="E899" t="s">
        <v>77</v>
      </c>
      <c r="F899">
        <v>1</v>
      </c>
      <c r="G899" s="1">
        <v>401.7</v>
      </c>
      <c r="H899" s="1">
        <v>240.1</v>
      </c>
      <c r="I899" s="5"/>
      <c r="J899" t="s">
        <v>101</v>
      </c>
      <c r="K899" t="s">
        <v>47</v>
      </c>
      <c r="L899" t="s">
        <v>42</v>
      </c>
      <c r="M899" s="1">
        <f>(orders[[#This Row],[Revenue]]-orders[[#This Row],[Cost]])</f>
        <v>161.6</v>
      </c>
      <c r="N899" s="8">
        <f>IFERROR(orders[[#This Row],[profit]]/orders[[#This Row],[Revenue]],0)</f>
        <v>0.40229026636793624</v>
      </c>
      <c r="O899" t="str">
        <f>IF(orders[[#This Row],[Delivery Date]]="","",(orders[[#This Row],[Delivery Date]]-orders[[#This Row],[Date]]))</f>
        <v/>
      </c>
      <c r="P899" t="str">
        <f>IF(orders[[#This Row],[delivery days]]="","Not Delivered",IF(orders[[#This Row],[delivery days]]&lt;=2,"Fast",IF(orders[[#This Row],[delivery days]]&lt;=5,"Normal","Delayed")))</f>
        <v>Not Delivered</v>
      </c>
    </row>
    <row r="900" spans="1:16" x14ac:dyDescent="0.25">
      <c r="A900" t="s">
        <v>1036</v>
      </c>
      <c r="B900" s="5">
        <v>45989</v>
      </c>
      <c r="C900" t="s">
        <v>243</v>
      </c>
      <c r="D900" t="s">
        <v>135</v>
      </c>
      <c r="E900" t="s">
        <v>62</v>
      </c>
      <c r="F900">
        <v>1</v>
      </c>
      <c r="G900" s="1">
        <v>115</v>
      </c>
      <c r="H900" s="1">
        <v>63</v>
      </c>
      <c r="I900" s="5">
        <v>45991</v>
      </c>
      <c r="J900" t="s">
        <v>23</v>
      </c>
      <c r="K900" t="s">
        <v>24</v>
      </c>
      <c r="L900" t="s">
        <v>25</v>
      </c>
      <c r="M900" s="1">
        <f>(orders[[#This Row],[Revenue]]-orders[[#This Row],[Cost]])</f>
        <v>52</v>
      </c>
      <c r="N900" s="8">
        <f>IFERROR(orders[[#This Row],[profit]]/orders[[#This Row],[Revenue]],0)</f>
        <v>0.45217391304347826</v>
      </c>
      <c r="O900">
        <f>IF(orders[[#This Row],[Delivery Date]]="","",(orders[[#This Row],[Delivery Date]]-orders[[#This Row],[Date]]))</f>
        <v>2</v>
      </c>
      <c r="P900" t="str">
        <f>IF(orders[[#This Row],[delivery days]]="","Not Delivered",IF(orders[[#This Row],[delivery days]]&lt;=2,"Fast",IF(orders[[#This Row],[delivery days]]&lt;=5,"Normal","Delayed")))</f>
        <v>Fast</v>
      </c>
    </row>
    <row r="901" spans="1:16" x14ac:dyDescent="0.25">
      <c r="A901" t="s">
        <v>1037</v>
      </c>
      <c r="B901" s="5">
        <v>45989</v>
      </c>
      <c r="C901" t="s">
        <v>69</v>
      </c>
      <c r="D901" t="s">
        <v>224</v>
      </c>
      <c r="E901" t="s">
        <v>77</v>
      </c>
      <c r="F901">
        <v>1</v>
      </c>
      <c r="G901" s="1">
        <v>125</v>
      </c>
      <c r="H901" s="1">
        <v>65.66</v>
      </c>
      <c r="I901" s="5">
        <v>45991</v>
      </c>
      <c r="J901" t="s">
        <v>101</v>
      </c>
      <c r="K901" t="s">
        <v>47</v>
      </c>
      <c r="L901" t="s">
        <v>25</v>
      </c>
      <c r="M901" s="1">
        <f>(orders[[#This Row],[Revenue]]-orders[[#This Row],[Cost]])</f>
        <v>59.34</v>
      </c>
      <c r="N901" s="8">
        <f>IFERROR(orders[[#This Row],[profit]]/orders[[#This Row],[Revenue]],0)</f>
        <v>0.47472000000000003</v>
      </c>
      <c r="O901">
        <f>IF(orders[[#This Row],[Delivery Date]]="","",(orders[[#This Row],[Delivery Date]]-orders[[#This Row],[Date]]))</f>
        <v>2</v>
      </c>
      <c r="P901" t="str">
        <f>IF(orders[[#This Row],[delivery days]]="","Not Delivered",IF(orders[[#This Row],[delivery days]]&lt;=2,"Fast",IF(orders[[#This Row],[delivery days]]&lt;=5,"Normal","Delayed")))</f>
        <v>Fast</v>
      </c>
    </row>
    <row r="902" spans="1:16" x14ac:dyDescent="0.25">
      <c r="A902" t="s">
        <v>1038</v>
      </c>
      <c r="B902" s="5">
        <v>45989</v>
      </c>
      <c r="C902" t="s">
        <v>49</v>
      </c>
      <c r="D902" t="s">
        <v>153</v>
      </c>
      <c r="E902" t="s">
        <v>34</v>
      </c>
      <c r="F902">
        <v>2</v>
      </c>
      <c r="G902" s="1">
        <v>131.91999999999999</v>
      </c>
      <c r="H902" s="1">
        <v>62.72</v>
      </c>
      <c r="I902" s="5">
        <v>45993</v>
      </c>
      <c r="J902" t="s">
        <v>52</v>
      </c>
      <c r="K902" t="s">
        <v>24</v>
      </c>
      <c r="L902" t="s">
        <v>25</v>
      </c>
      <c r="M902" s="1">
        <f>(orders[[#This Row],[Revenue]]-orders[[#This Row],[Cost]])</f>
        <v>69.199999999999989</v>
      </c>
      <c r="N902" s="8">
        <f>IFERROR(orders[[#This Row],[profit]]/orders[[#This Row],[Revenue]],0)</f>
        <v>0.52456033959975734</v>
      </c>
      <c r="O902">
        <f>IF(orders[[#This Row],[Delivery Date]]="","",(orders[[#This Row],[Delivery Date]]-orders[[#This Row],[Date]]))</f>
        <v>4</v>
      </c>
      <c r="P902" t="str">
        <f>IF(orders[[#This Row],[delivery days]]="","Not Delivered",IF(orders[[#This Row],[delivery days]]&lt;=2,"Fast",IF(orders[[#This Row],[delivery days]]&lt;=5,"Normal","Delayed")))</f>
        <v>Normal</v>
      </c>
    </row>
    <row r="903" spans="1:16" x14ac:dyDescent="0.25">
      <c r="A903" t="s">
        <v>1039</v>
      </c>
      <c r="B903" s="5">
        <v>45989</v>
      </c>
      <c r="C903" t="s">
        <v>82</v>
      </c>
      <c r="D903" t="s">
        <v>159</v>
      </c>
      <c r="E903" t="s">
        <v>39</v>
      </c>
      <c r="F903">
        <v>4</v>
      </c>
      <c r="G903" s="1">
        <v>426.8</v>
      </c>
      <c r="H903" s="1">
        <v>243.04</v>
      </c>
      <c r="I903" s="5">
        <v>45991</v>
      </c>
      <c r="J903" t="s">
        <v>16</v>
      </c>
      <c r="K903" t="s">
        <v>35</v>
      </c>
      <c r="L903" t="s">
        <v>25</v>
      </c>
      <c r="M903" s="1">
        <f>(orders[[#This Row],[Revenue]]-orders[[#This Row],[Cost]])</f>
        <v>183.76000000000002</v>
      </c>
      <c r="N903" s="8">
        <f>IFERROR(orders[[#This Row],[profit]]/orders[[#This Row],[Revenue]],0)</f>
        <v>0.43055295220243678</v>
      </c>
      <c r="O903">
        <f>IF(orders[[#This Row],[Delivery Date]]="","",(orders[[#This Row],[Delivery Date]]-orders[[#This Row],[Date]]))</f>
        <v>2</v>
      </c>
      <c r="P903" t="str">
        <f>IF(orders[[#This Row],[delivery days]]="","Not Delivered",IF(orders[[#This Row],[delivery days]]&lt;=2,"Fast",IF(orders[[#This Row],[delivery days]]&lt;=5,"Normal","Delayed")))</f>
        <v>Fast</v>
      </c>
    </row>
    <row r="904" spans="1:16" x14ac:dyDescent="0.25">
      <c r="A904" t="s">
        <v>1040</v>
      </c>
      <c r="B904" s="5">
        <v>45990</v>
      </c>
      <c r="C904" t="s">
        <v>32</v>
      </c>
      <c r="D904" t="s">
        <v>179</v>
      </c>
      <c r="E904" t="s">
        <v>34</v>
      </c>
      <c r="F904">
        <v>1</v>
      </c>
      <c r="G904" s="1">
        <v>45</v>
      </c>
      <c r="H904" s="1">
        <v>19</v>
      </c>
      <c r="I904" s="5"/>
      <c r="J904" t="s">
        <v>30</v>
      </c>
      <c r="K904" t="s">
        <v>35</v>
      </c>
      <c r="L904" t="s">
        <v>42</v>
      </c>
      <c r="M904" s="1">
        <f>(orders[[#This Row],[Revenue]]-orders[[#This Row],[Cost]])</f>
        <v>26</v>
      </c>
      <c r="N904" s="8">
        <f>IFERROR(orders[[#This Row],[profit]]/orders[[#This Row],[Revenue]],0)</f>
        <v>0.57777777777777772</v>
      </c>
      <c r="O904" t="str">
        <f>IF(orders[[#This Row],[Delivery Date]]="","",(orders[[#This Row],[Delivery Date]]-orders[[#This Row],[Date]]))</f>
        <v/>
      </c>
      <c r="P904" t="str">
        <f>IF(orders[[#This Row],[delivery days]]="","Not Delivered",IF(orders[[#This Row],[delivery days]]&lt;=2,"Fast",IF(orders[[#This Row],[delivery days]]&lt;=5,"Normal","Delayed")))</f>
        <v>Not Delivered</v>
      </c>
    </row>
    <row r="905" spans="1:16" x14ac:dyDescent="0.25">
      <c r="A905" t="s">
        <v>1041</v>
      </c>
      <c r="B905" s="5">
        <v>45990</v>
      </c>
      <c r="C905" t="s">
        <v>27</v>
      </c>
      <c r="D905" t="s">
        <v>179</v>
      </c>
      <c r="E905" t="s">
        <v>34</v>
      </c>
      <c r="F905">
        <v>1</v>
      </c>
      <c r="G905" s="1">
        <v>45</v>
      </c>
      <c r="H905" s="1">
        <v>19</v>
      </c>
      <c r="I905" s="5">
        <v>45992</v>
      </c>
      <c r="J905" t="s">
        <v>46</v>
      </c>
      <c r="K905" t="s">
        <v>47</v>
      </c>
      <c r="L905" t="s">
        <v>25</v>
      </c>
      <c r="M905" s="1">
        <f>(orders[[#This Row],[Revenue]]-orders[[#This Row],[Cost]])</f>
        <v>26</v>
      </c>
      <c r="N905" s="8">
        <f>IFERROR(orders[[#This Row],[profit]]/orders[[#This Row],[Revenue]],0)</f>
        <v>0.57777777777777772</v>
      </c>
      <c r="O905">
        <f>IF(orders[[#This Row],[Delivery Date]]="","",(orders[[#This Row],[Delivery Date]]-orders[[#This Row],[Date]]))</f>
        <v>2</v>
      </c>
      <c r="P905" t="str">
        <f>IF(orders[[#This Row],[delivery days]]="","Not Delivered",IF(orders[[#This Row],[delivery days]]&lt;=2,"Fast",IF(orders[[#This Row],[delivery days]]&lt;=5,"Normal","Delayed")))</f>
        <v>Fast</v>
      </c>
    </row>
    <row r="906" spans="1:16" x14ac:dyDescent="0.25">
      <c r="A906" t="s">
        <v>1042</v>
      </c>
      <c r="B906" s="5">
        <v>45990</v>
      </c>
      <c r="C906" t="s">
        <v>155</v>
      </c>
      <c r="D906" t="s">
        <v>187</v>
      </c>
      <c r="E906" t="s">
        <v>15</v>
      </c>
      <c r="F906">
        <v>3</v>
      </c>
      <c r="G906" s="1">
        <v>105</v>
      </c>
      <c r="H906" s="1">
        <v>48</v>
      </c>
      <c r="I906" s="5">
        <v>45994</v>
      </c>
      <c r="J906" t="s">
        <v>30</v>
      </c>
      <c r="K906" t="s">
        <v>17</v>
      </c>
      <c r="L906" t="s">
        <v>25</v>
      </c>
      <c r="M906" s="1">
        <f>(orders[[#This Row],[Revenue]]-orders[[#This Row],[Cost]])</f>
        <v>57</v>
      </c>
      <c r="N906" s="8">
        <f>IFERROR(orders[[#This Row],[profit]]/orders[[#This Row],[Revenue]],0)</f>
        <v>0.54285714285714282</v>
      </c>
      <c r="O906">
        <f>IF(orders[[#This Row],[Delivery Date]]="","",(orders[[#This Row],[Delivery Date]]-orders[[#This Row],[Date]]))</f>
        <v>4</v>
      </c>
      <c r="P906" t="str">
        <f>IF(orders[[#This Row],[delivery days]]="","Not Delivered",IF(orders[[#This Row],[delivery days]]&lt;=2,"Fast",IF(orders[[#This Row],[delivery days]]&lt;=5,"Normal","Delayed")))</f>
        <v>Normal</v>
      </c>
    </row>
    <row r="907" spans="1:16" x14ac:dyDescent="0.25">
      <c r="A907" t="s">
        <v>1043</v>
      </c>
      <c r="B907" s="5">
        <v>45990</v>
      </c>
      <c r="C907" t="s">
        <v>72</v>
      </c>
      <c r="D907" t="s">
        <v>21</v>
      </c>
      <c r="E907" t="s">
        <v>22</v>
      </c>
      <c r="F907">
        <v>1</v>
      </c>
      <c r="G907" s="1">
        <v>32</v>
      </c>
      <c r="H907" s="1">
        <v>13</v>
      </c>
      <c r="I907" s="5">
        <v>45993</v>
      </c>
      <c r="J907" t="s">
        <v>46</v>
      </c>
      <c r="K907" t="s">
        <v>47</v>
      </c>
      <c r="L907" t="s">
        <v>25</v>
      </c>
      <c r="M907" s="1">
        <f>(orders[[#This Row],[Revenue]]-orders[[#This Row],[Cost]])</f>
        <v>19</v>
      </c>
      <c r="N907" s="8">
        <f>IFERROR(orders[[#This Row],[profit]]/orders[[#This Row],[Revenue]],0)</f>
        <v>0.59375</v>
      </c>
      <c r="O907">
        <f>IF(orders[[#This Row],[Delivery Date]]="","",(orders[[#This Row],[Delivery Date]]-orders[[#This Row],[Date]]))</f>
        <v>3</v>
      </c>
      <c r="P907" t="str">
        <f>IF(orders[[#This Row],[delivery days]]="","Not Delivered",IF(orders[[#This Row],[delivery days]]&lt;=2,"Fast",IF(orders[[#This Row],[delivery days]]&lt;=5,"Normal","Delayed")))</f>
        <v>Normal</v>
      </c>
    </row>
    <row r="908" spans="1:16" x14ac:dyDescent="0.25">
      <c r="A908" t="s">
        <v>1044</v>
      </c>
      <c r="B908" s="5">
        <v>45991</v>
      </c>
      <c r="C908" t="s">
        <v>278</v>
      </c>
      <c r="D908" t="s">
        <v>21</v>
      </c>
      <c r="E908" t="s">
        <v>22</v>
      </c>
      <c r="F908">
        <v>1</v>
      </c>
      <c r="G908" s="1">
        <v>29.44</v>
      </c>
      <c r="H908" s="1">
        <v>13</v>
      </c>
      <c r="I908" s="5"/>
      <c r="J908" t="s">
        <v>46</v>
      </c>
      <c r="K908" t="s">
        <v>24</v>
      </c>
      <c r="L908" t="s">
        <v>42</v>
      </c>
      <c r="M908" s="1">
        <f>(orders[[#This Row],[Revenue]]-orders[[#This Row],[Cost]])</f>
        <v>16.440000000000001</v>
      </c>
      <c r="N908" s="8">
        <f>IFERROR(orders[[#This Row],[profit]]/orders[[#This Row],[Revenue]],0)</f>
        <v>0.55842391304347827</v>
      </c>
      <c r="O908" t="str">
        <f>IF(orders[[#This Row],[Delivery Date]]="","",(orders[[#This Row],[Delivery Date]]-orders[[#This Row],[Date]]))</f>
        <v/>
      </c>
      <c r="P908" t="str">
        <f>IF(orders[[#This Row],[delivery days]]="","Not Delivered",IF(orders[[#This Row],[delivery days]]&lt;=2,"Fast",IF(orders[[#This Row],[delivery days]]&lt;=5,"Normal","Delayed")))</f>
        <v>Not Delivered</v>
      </c>
    </row>
    <row r="909" spans="1:16" x14ac:dyDescent="0.25">
      <c r="A909" t="s">
        <v>1045</v>
      </c>
      <c r="B909" s="5">
        <v>45991</v>
      </c>
      <c r="C909" t="s">
        <v>278</v>
      </c>
      <c r="D909" t="s">
        <v>21</v>
      </c>
      <c r="E909" t="s">
        <v>22</v>
      </c>
      <c r="F909">
        <v>5</v>
      </c>
      <c r="G909" s="1">
        <v>155.19999999999999</v>
      </c>
      <c r="H909" s="1">
        <v>65</v>
      </c>
      <c r="I909" s="5">
        <v>45992</v>
      </c>
      <c r="J909" t="s">
        <v>30</v>
      </c>
      <c r="K909" t="s">
        <v>35</v>
      </c>
      <c r="L909" t="s">
        <v>25</v>
      </c>
      <c r="M909" s="1">
        <f>(orders[[#This Row],[Revenue]]-orders[[#This Row],[Cost]])</f>
        <v>90.199999999999989</v>
      </c>
      <c r="N909" s="8">
        <f>IFERROR(orders[[#This Row],[profit]]/orders[[#This Row],[Revenue]],0)</f>
        <v>0.58118556701030921</v>
      </c>
      <c r="O909">
        <f>IF(orders[[#This Row],[Delivery Date]]="","",(orders[[#This Row],[Delivery Date]]-orders[[#This Row],[Date]]))</f>
        <v>1</v>
      </c>
      <c r="P909" t="str">
        <f>IF(orders[[#This Row],[delivery days]]="","Not Delivered",IF(orders[[#This Row],[delivery days]]&lt;=2,"Fast",IF(orders[[#This Row],[delivery days]]&lt;=5,"Normal","Delayed")))</f>
        <v>Fast</v>
      </c>
    </row>
    <row r="910" spans="1:16" x14ac:dyDescent="0.25">
      <c r="A910" t="s">
        <v>1046</v>
      </c>
      <c r="B910" s="5">
        <v>45992</v>
      </c>
      <c r="C910" t="s">
        <v>139</v>
      </c>
      <c r="D910" t="s">
        <v>110</v>
      </c>
      <c r="E910" t="s">
        <v>39</v>
      </c>
      <c r="F910">
        <v>1</v>
      </c>
      <c r="G910" s="1">
        <v>210</v>
      </c>
      <c r="H910" s="1">
        <v>125</v>
      </c>
      <c r="I910" s="5">
        <v>45993</v>
      </c>
      <c r="J910" t="s">
        <v>30</v>
      </c>
      <c r="K910" t="s">
        <v>35</v>
      </c>
      <c r="L910" t="s">
        <v>25</v>
      </c>
      <c r="M910" s="1">
        <f>(orders[[#This Row],[Revenue]]-orders[[#This Row],[Cost]])</f>
        <v>85</v>
      </c>
      <c r="N910" s="8">
        <f>IFERROR(orders[[#This Row],[profit]]/orders[[#This Row],[Revenue]],0)</f>
        <v>0.40476190476190477</v>
      </c>
      <c r="O910">
        <f>IF(orders[[#This Row],[Delivery Date]]="","",(orders[[#This Row],[Delivery Date]]-orders[[#This Row],[Date]]))</f>
        <v>1</v>
      </c>
      <c r="P910" t="str">
        <f>IF(orders[[#This Row],[delivery days]]="","Not Delivered",IF(orders[[#This Row],[delivery days]]&lt;=2,"Fast",IF(orders[[#This Row],[delivery days]]&lt;=5,"Normal","Delayed")))</f>
        <v>Fast</v>
      </c>
    </row>
    <row r="911" spans="1:16" x14ac:dyDescent="0.25">
      <c r="A911" t="s">
        <v>1047</v>
      </c>
      <c r="B911" s="5">
        <v>45993</v>
      </c>
      <c r="C911" t="s">
        <v>27</v>
      </c>
      <c r="D911" t="s">
        <v>110</v>
      </c>
      <c r="E911" t="s">
        <v>39</v>
      </c>
      <c r="F911">
        <v>2</v>
      </c>
      <c r="G911" s="1">
        <v>432.6</v>
      </c>
      <c r="H911" s="1">
        <v>255</v>
      </c>
      <c r="I911" s="5">
        <v>45994</v>
      </c>
      <c r="J911" t="s">
        <v>30</v>
      </c>
      <c r="K911" t="s">
        <v>35</v>
      </c>
      <c r="L911" t="s">
        <v>25</v>
      </c>
      <c r="M911" s="1">
        <f>(orders[[#This Row],[Revenue]]-orders[[#This Row],[Cost]])</f>
        <v>177.60000000000002</v>
      </c>
      <c r="N911" s="8">
        <f>IFERROR(orders[[#This Row],[profit]]/orders[[#This Row],[Revenue]],0)</f>
        <v>0.41054091539528437</v>
      </c>
      <c r="O911">
        <f>IF(orders[[#This Row],[Delivery Date]]="","",(orders[[#This Row],[Delivery Date]]-orders[[#This Row],[Date]]))</f>
        <v>1</v>
      </c>
      <c r="P911" t="str">
        <f>IF(orders[[#This Row],[delivery days]]="","Not Delivered",IF(orders[[#This Row],[delivery days]]&lt;=2,"Fast",IF(orders[[#This Row],[delivery days]]&lt;=5,"Normal","Delayed")))</f>
        <v>Fast</v>
      </c>
    </row>
    <row r="912" spans="1:16" x14ac:dyDescent="0.25">
      <c r="A912" t="s">
        <v>1048</v>
      </c>
      <c r="B912" s="5">
        <v>45993</v>
      </c>
      <c r="C912" t="s">
        <v>107</v>
      </c>
      <c r="D912" t="s">
        <v>33</v>
      </c>
      <c r="E912" t="s">
        <v>34</v>
      </c>
      <c r="F912">
        <v>1</v>
      </c>
      <c r="G912" s="1">
        <v>62.64</v>
      </c>
      <c r="H912" s="1">
        <v>25</v>
      </c>
      <c r="I912" s="5">
        <v>45995</v>
      </c>
      <c r="J912" t="s">
        <v>16</v>
      </c>
      <c r="K912" t="s">
        <v>35</v>
      </c>
      <c r="L912" t="s">
        <v>25</v>
      </c>
      <c r="M912" s="1">
        <f>(orders[[#This Row],[Revenue]]-orders[[#This Row],[Cost]])</f>
        <v>37.64</v>
      </c>
      <c r="N912" s="8">
        <f>IFERROR(orders[[#This Row],[profit]]/orders[[#This Row],[Revenue]],0)</f>
        <v>0.60089399744572158</v>
      </c>
      <c r="O912">
        <f>IF(orders[[#This Row],[Delivery Date]]="","",(orders[[#This Row],[Delivery Date]]-orders[[#This Row],[Date]]))</f>
        <v>2</v>
      </c>
      <c r="P912" t="str">
        <f>IF(orders[[#This Row],[delivery days]]="","Not Delivered",IF(orders[[#This Row],[delivery days]]&lt;=2,"Fast",IF(orders[[#This Row],[delivery days]]&lt;=5,"Normal","Delayed")))</f>
        <v>Fast</v>
      </c>
    </row>
    <row r="913" spans="1:16" x14ac:dyDescent="0.25">
      <c r="A913" t="s">
        <v>1049</v>
      </c>
      <c r="B913" s="5">
        <v>45993</v>
      </c>
      <c r="C913" t="s">
        <v>171</v>
      </c>
      <c r="D913" t="s">
        <v>127</v>
      </c>
      <c r="E913" t="s">
        <v>29</v>
      </c>
      <c r="F913">
        <v>2</v>
      </c>
      <c r="G913" s="1">
        <v>36</v>
      </c>
      <c r="H913" s="1">
        <v>12.24</v>
      </c>
      <c r="I913" s="5">
        <v>45996</v>
      </c>
      <c r="J913" t="s">
        <v>52</v>
      </c>
      <c r="K913" t="s">
        <v>47</v>
      </c>
      <c r="L913" t="s">
        <v>25</v>
      </c>
      <c r="M913" s="1">
        <f>(orders[[#This Row],[Revenue]]-orders[[#This Row],[Cost]])</f>
        <v>23.759999999999998</v>
      </c>
      <c r="N913" s="8">
        <f>IFERROR(orders[[#This Row],[profit]]/orders[[#This Row],[Revenue]],0)</f>
        <v>0.65999999999999992</v>
      </c>
      <c r="O913">
        <f>IF(orders[[#This Row],[Delivery Date]]="","",(orders[[#This Row],[Delivery Date]]-orders[[#This Row],[Date]]))</f>
        <v>3</v>
      </c>
      <c r="P913" t="str">
        <f>IF(orders[[#This Row],[delivery days]]="","Not Delivered",IF(orders[[#This Row],[delivery days]]&lt;=2,"Fast",IF(orders[[#This Row],[delivery days]]&lt;=5,"Normal","Delayed")))</f>
        <v>Normal</v>
      </c>
    </row>
    <row r="914" spans="1:16" x14ac:dyDescent="0.25">
      <c r="A914" t="s">
        <v>1050</v>
      </c>
      <c r="B914" s="5">
        <v>45993</v>
      </c>
      <c r="C914" t="s">
        <v>64</v>
      </c>
      <c r="D914" t="s">
        <v>108</v>
      </c>
      <c r="E914" t="s">
        <v>22</v>
      </c>
      <c r="F914">
        <v>1</v>
      </c>
      <c r="G914" s="1">
        <v>95</v>
      </c>
      <c r="H914" s="1">
        <v>42</v>
      </c>
      <c r="I914" s="5">
        <v>45996</v>
      </c>
      <c r="J914" t="s">
        <v>16</v>
      </c>
      <c r="K914" t="s">
        <v>17</v>
      </c>
      <c r="L914" t="s">
        <v>25</v>
      </c>
      <c r="M914" s="1">
        <f>(orders[[#This Row],[Revenue]]-orders[[#This Row],[Cost]])</f>
        <v>53</v>
      </c>
      <c r="N914" s="8">
        <f>IFERROR(orders[[#This Row],[profit]]/orders[[#This Row],[Revenue]],0)</f>
        <v>0.55789473684210522</v>
      </c>
      <c r="O914">
        <f>IF(orders[[#This Row],[Delivery Date]]="","",(orders[[#This Row],[Delivery Date]]-orders[[#This Row],[Date]]))</f>
        <v>3</v>
      </c>
      <c r="P914" t="str">
        <f>IF(orders[[#This Row],[delivery days]]="","Not Delivered",IF(orders[[#This Row],[delivery days]]&lt;=2,"Fast",IF(orders[[#This Row],[delivery days]]&lt;=5,"Normal","Delayed")))</f>
        <v>Normal</v>
      </c>
    </row>
    <row r="915" spans="1:16" x14ac:dyDescent="0.25">
      <c r="A915" t="s">
        <v>1051</v>
      </c>
      <c r="B915" s="5">
        <v>45994</v>
      </c>
      <c r="C915" t="s">
        <v>44</v>
      </c>
      <c r="D915" t="s">
        <v>168</v>
      </c>
      <c r="E915" t="s">
        <v>29</v>
      </c>
      <c r="F915">
        <v>1</v>
      </c>
      <c r="G915" s="1">
        <v>22.66</v>
      </c>
      <c r="H915" s="1">
        <v>8.16</v>
      </c>
      <c r="I915" s="5">
        <v>45996</v>
      </c>
      <c r="J915" t="s">
        <v>23</v>
      </c>
      <c r="K915" t="s">
        <v>24</v>
      </c>
      <c r="L915" t="s">
        <v>25</v>
      </c>
      <c r="M915" s="1">
        <f>(orders[[#This Row],[Revenue]]-orders[[#This Row],[Cost]])</f>
        <v>14.5</v>
      </c>
      <c r="N915" s="8">
        <f>IFERROR(orders[[#This Row],[profit]]/orders[[#This Row],[Revenue]],0)</f>
        <v>0.63989408649602819</v>
      </c>
      <c r="O915">
        <f>IF(orders[[#This Row],[Delivery Date]]="","",(orders[[#This Row],[Delivery Date]]-orders[[#This Row],[Date]]))</f>
        <v>2</v>
      </c>
      <c r="P915" t="str">
        <f>IF(orders[[#This Row],[delivery days]]="","Not Delivered",IF(orders[[#This Row],[delivery days]]&lt;=2,"Fast",IF(orders[[#This Row],[delivery days]]&lt;=5,"Normal","Delayed")))</f>
        <v>Fast</v>
      </c>
    </row>
    <row r="916" spans="1:16" x14ac:dyDescent="0.25">
      <c r="A916" t="s">
        <v>1052</v>
      </c>
      <c r="B916" s="5">
        <v>45994</v>
      </c>
      <c r="C916" t="s">
        <v>96</v>
      </c>
      <c r="D916" t="s">
        <v>187</v>
      </c>
      <c r="E916" t="s">
        <v>15</v>
      </c>
      <c r="F916">
        <v>4</v>
      </c>
      <c r="G916" s="1">
        <v>140</v>
      </c>
      <c r="H916" s="1">
        <v>64</v>
      </c>
      <c r="I916" s="5">
        <v>45999</v>
      </c>
      <c r="J916" t="s">
        <v>52</v>
      </c>
      <c r="K916" t="s">
        <v>47</v>
      </c>
      <c r="L916" t="s">
        <v>25</v>
      </c>
      <c r="M916" s="1">
        <f>(orders[[#This Row],[Revenue]]-orders[[#This Row],[Cost]])</f>
        <v>76</v>
      </c>
      <c r="N916" s="8">
        <f>IFERROR(orders[[#This Row],[profit]]/orders[[#This Row],[Revenue]],0)</f>
        <v>0.54285714285714282</v>
      </c>
      <c r="O916">
        <f>IF(orders[[#This Row],[Delivery Date]]="","",(orders[[#This Row],[Delivery Date]]-orders[[#This Row],[Date]]))</f>
        <v>5</v>
      </c>
      <c r="P916" t="str">
        <f>IF(orders[[#This Row],[delivery days]]="","Not Delivered",IF(orders[[#This Row],[delivery days]]&lt;=2,"Fast",IF(orders[[#This Row],[delivery days]]&lt;=5,"Normal","Delayed")))</f>
        <v>Normal</v>
      </c>
    </row>
    <row r="917" spans="1:16" x14ac:dyDescent="0.25">
      <c r="A917" t="s">
        <v>1053</v>
      </c>
      <c r="B917" s="5">
        <v>45995</v>
      </c>
      <c r="C917" t="s">
        <v>121</v>
      </c>
      <c r="D917" t="s">
        <v>177</v>
      </c>
      <c r="E917" t="s">
        <v>34</v>
      </c>
      <c r="F917">
        <v>4</v>
      </c>
      <c r="G917" s="1">
        <v>562.6</v>
      </c>
      <c r="H917" s="1">
        <v>312</v>
      </c>
      <c r="I917" s="5">
        <v>45996</v>
      </c>
      <c r="J917" t="s">
        <v>30</v>
      </c>
      <c r="K917" t="s">
        <v>35</v>
      </c>
      <c r="L917" t="s">
        <v>25</v>
      </c>
      <c r="M917" s="1">
        <f>(orders[[#This Row],[Revenue]]-orders[[#This Row],[Cost]])</f>
        <v>250.60000000000002</v>
      </c>
      <c r="N917" s="8">
        <f>IFERROR(orders[[#This Row],[profit]]/orders[[#This Row],[Revenue]],0)</f>
        <v>0.44543192321365094</v>
      </c>
      <c r="O917">
        <f>IF(orders[[#This Row],[Delivery Date]]="","",(orders[[#This Row],[Delivery Date]]-orders[[#This Row],[Date]]))</f>
        <v>1</v>
      </c>
      <c r="P917" t="str">
        <f>IF(orders[[#This Row],[delivery days]]="","Not Delivered",IF(orders[[#This Row],[delivery days]]&lt;=2,"Fast",IF(orders[[#This Row],[delivery days]]&lt;=5,"Normal","Delayed")))</f>
        <v>Fast</v>
      </c>
    </row>
    <row r="918" spans="1:16" x14ac:dyDescent="0.25">
      <c r="A918" t="s">
        <v>1054</v>
      </c>
      <c r="B918" s="5">
        <v>45995</v>
      </c>
      <c r="C918" t="s">
        <v>217</v>
      </c>
      <c r="D918" t="s">
        <v>70</v>
      </c>
      <c r="E918" t="s">
        <v>62</v>
      </c>
      <c r="F918">
        <v>2</v>
      </c>
      <c r="G918" s="1">
        <v>270</v>
      </c>
      <c r="H918" s="1">
        <v>156</v>
      </c>
      <c r="I918" s="5">
        <v>45996</v>
      </c>
      <c r="J918" t="s">
        <v>46</v>
      </c>
      <c r="K918" t="s">
        <v>47</v>
      </c>
      <c r="L918" t="s">
        <v>25</v>
      </c>
      <c r="M918" s="1">
        <f>(orders[[#This Row],[Revenue]]-orders[[#This Row],[Cost]])</f>
        <v>114</v>
      </c>
      <c r="N918" s="8">
        <f>IFERROR(orders[[#This Row],[profit]]/orders[[#This Row],[Revenue]],0)</f>
        <v>0.42222222222222222</v>
      </c>
      <c r="O918">
        <f>IF(orders[[#This Row],[Delivery Date]]="","",(orders[[#This Row],[Delivery Date]]-orders[[#This Row],[Date]]))</f>
        <v>1</v>
      </c>
      <c r="P918" t="str">
        <f>IF(orders[[#This Row],[delivery days]]="","Not Delivered",IF(orders[[#This Row],[delivery days]]&lt;=2,"Fast",IF(orders[[#This Row],[delivery days]]&lt;=5,"Normal","Delayed")))</f>
        <v>Fast</v>
      </c>
    </row>
    <row r="919" spans="1:16" x14ac:dyDescent="0.25">
      <c r="A919" t="s">
        <v>1055</v>
      </c>
      <c r="B919" s="5">
        <v>45995</v>
      </c>
      <c r="C919" t="s">
        <v>184</v>
      </c>
      <c r="D919" t="s">
        <v>65</v>
      </c>
      <c r="E919" t="s">
        <v>62</v>
      </c>
      <c r="F919">
        <v>2</v>
      </c>
      <c r="G919" s="1">
        <v>96</v>
      </c>
      <c r="H919" s="1">
        <v>41.16</v>
      </c>
      <c r="I919" s="5">
        <v>45998</v>
      </c>
      <c r="J919" t="s">
        <v>46</v>
      </c>
      <c r="K919" t="s">
        <v>47</v>
      </c>
      <c r="L919" t="s">
        <v>25</v>
      </c>
      <c r="M919" s="1">
        <f>(orders[[#This Row],[Revenue]]-orders[[#This Row],[Cost]])</f>
        <v>54.84</v>
      </c>
      <c r="N919" s="8">
        <f>IFERROR(orders[[#This Row],[profit]]/orders[[#This Row],[Revenue]],0)</f>
        <v>0.57125000000000004</v>
      </c>
      <c r="O919">
        <f>IF(orders[[#This Row],[Delivery Date]]="","",(orders[[#This Row],[Delivery Date]]-orders[[#This Row],[Date]]))</f>
        <v>3</v>
      </c>
      <c r="P919" t="str">
        <f>IF(orders[[#This Row],[delivery days]]="","Not Delivered",IF(orders[[#This Row],[delivery days]]&lt;=2,"Fast",IF(orders[[#This Row],[delivery days]]&lt;=5,"Normal","Delayed")))</f>
        <v>Normal</v>
      </c>
    </row>
    <row r="920" spans="1:16" x14ac:dyDescent="0.25">
      <c r="A920" t="s">
        <v>1056</v>
      </c>
      <c r="B920" s="5">
        <v>45995</v>
      </c>
      <c r="C920" t="s">
        <v>79</v>
      </c>
      <c r="D920" t="s">
        <v>80</v>
      </c>
      <c r="E920" t="s">
        <v>77</v>
      </c>
      <c r="F920">
        <v>4</v>
      </c>
      <c r="G920" s="1">
        <v>300</v>
      </c>
      <c r="H920" s="1">
        <v>152</v>
      </c>
      <c r="I920" s="5">
        <v>45998</v>
      </c>
      <c r="J920" t="s">
        <v>101</v>
      </c>
      <c r="K920" t="s">
        <v>35</v>
      </c>
      <c r="L920" t="s">
        <v>25</v>
      </c>
      <c r="M920" s="1">
        <f>(orders[[#This Row],[Revenue]]-orders[[#This Row],[Cost]])</f>
        <v>148</v>
      </c>
      <c r="N920" s="8">
        <f>IFERROR(orders[[#This Row],[profit]]/orders[[#This Row],[Revenue]],0)</f>
        <v>0.49333333333333335</v>
      </c>
      <c r="O920">
        <f>IF(orders[[#This Row],[Delivery Date]]="","",(orders[[#This Row],[Delivery Date]]-orders[[#This Row],[Date]]))</f>
        <v>3</v>
      </c>
      <c r="P920" t="str">
        <f>IF(orders[[#This Row],[delivery days]]="","Not Delivered",IF(orders[[#This Row],[delivery days]]&lt;=2,"Fast",IF(orders[[#This Row],[delivery days]]&lt;=5,"Normal","Delayed")))</f>
        <v>Normal</v>
      </c>
    </row>
    <row r="921" spans="1:16" x14ac:dyDescent="0.25">
      <c r="A921" t="s">
        <v>1057</v>
      </c>
      <c r="B921" s="5">
        <v>45996</v>
      </c>
      <c r="C921" t="s">
        <v>204</v>
      </c>
      <c r="D921" t="s">
        <v>125</v>
      </c>
      <c r="E921" t="s">
        <v>62</v>
      </c>
      <c r="F921">
        <v>3</v>
      </c>
      <c r="G921" s="1">
        <v>435</v>
      </c>
      <c r="H921" s="1">
        <v>246</v>
      </c>
      <c r="I921" s="5">
        <v>45999</v>
      </c>
      <c r="J921" t="s">
        <v>23</v>
      </c>
      <c r="K921" t="s">
        <v>24</v>
      </c>
      <c r="L921" t="s">
        <v>25</v>
      </c>
      <c r="M921" s="1">
        <f>(orders[[#This Row],[Revenue]]-orders[[#This Row],[Cost]])</f>
        <v>189</v>
      </c>
      <c r="N921" s="8">
        <f>IFERROR(orders[[#This Row],[profit]]/orders[[#This Row],[Revenue]],0)</f>
        <v>0.43448275862068964</v>
      </c>
      <c r="O921">
        <f>IF(orders[[#This Row],[Delivery Date]]="","",(orders[[#This Row],[Delivery Date]]-orders[[#This Row],[Date]]))</f>
        <v>3</v>
      </c>
      <c r="P921" t="str">
        <f>IF(orders[[#This Row],[delivery days]]="","Not Delivered",IF(orders[[#This Row],[delivery days]]&lt;=2,"Fast",IF(orders[[#This Row],[delivery days]]&lt;=5,"Normal","Delayed")))</f>
        <v>Normal</v>
      </c>
    </row>
    <row r="922" spans="1:16" x14ac:dyDescent="0.25">
      <c r="A922" t="s">
        <v>1058</v>
      </c>
      <c r="B922" s="5">
        <v>45996</v>
      </c>
      <c r="C922" t="s">
        <v>195</v>
      </c>
      <c r="D922" t="s">
        <v>113</v>
      </c>
      <c r="E922" t="s">
        <v>15</v>
      </c>
      <c r="F922">
        <v>1</v>
      </c>
      <c r="G922" s="1">
        <v>92.15</v>
      </c>
      <c r="H922" s="1">
        <v>48</v>
      </c>
      <c r="I922" s="5">
        <v>46000</v>
      </c>
      <c r="J922" t="s">
        <v>46</v>
      </c>
      <c r="K922" t="s">
        <v>24</v>
      </c>
      <c r="L922" t="s">
        <v>25</v>
      </c>
      <c r="M922" s="1">
        <f>(orders[[#This Row],[Revenue]]-orders[[#This Row],[Cost]])</f>
        <v>44.150000000000006</v>
      </c>
      <c r="N922" s="8">
        <f>IFERROR(orders[[#This Row],[profit]]/orders[[#This Row],[Revenue]],0)</f>
        <v>0.47911014650027134</v>
      </c>
      <c r="O922">
        <f>IF(orders[[#This Row],[Delivery Date]]="","",(orders[[#This Row],[Delivery Date]]-orders[[#This Row],[Date]]))</f>
        <v>4</v>
      </c>
      <c r="P922" t="str">
        <f>IF(orders[[#This Row],[delivery days]]="","Not Delivered",IF(orders[[#This Row],[delivery days]]&lt;=2,"Fast",IF(orders[[#This Row],[delivery days]]&lt;=5,"Normal","Delayed")))</f>
        <v>Normal</v>
      </c>
    </row>
    <row r="923" spans="1:16" x14ac:dyDescent="0.25">
      <c r="A923" t="s">
        <v>1059</v>
      </c>
      <c r="B923" s="5">
        <v>45996</v>
      </c>
      <c r="C923" t="s">
        <v>325</v>
      </c>
      <c r="D923" t="s">
        <v>219</v>
      </c>
      <c r="E923" t="s">
        <v>34</v>
      </c>
      <c r="F923">
        <v>2</v>
      </c>
      <c r="G923" s="1">
        <v>57.68</v>
      </c>
      <c r="H923" s="1">
        <v>22</v>
      </c>
      <c r="I923" s="5">
        <v>45998</v>
      </c>
      <c r="J923" t="s">
        <v>16</v>
      </c>
      <c r="K923" t="s">
        <v>35</v>
      </c>
      <c r="L923" t="s">
        <v>25</v>
      </c>
      <c r="M923" s="1">
        <f>(orders[[#This Row],[Revenue]]-orders[[#This Row],[Cost]])</f>
        <v>35.68</v>
      </c>
      <c r="N923" s="8">
        <f>IFERROR(orders[[#This Row],[profit]]/orders[[#This Row],[Revenue]],0)</f>
        <v>0.61858529819694863</v>
      </c>
      <c r="O923">
        <f>IF(orders[[#This Row],[Delivery Date]]="","",(orders[[#This Row],[Delivery Date]]-orders[[#This Row],[Date]]))</f>
        <v>2</v>
      </c>
      <c r="P923" t="str">
        <f>IF(orders[[#This Row],[delivery days]]="","Not Delivered",IF(orders[[#This Row],[delivery days]]&lt;=2,"Fast",IF(orders[[#This Row],[delivery days]]&lt;=5,"Normal","Delayed")))</f>
        <v>Fast</v>
      </c>
    </row>
    <row r="924" spans="1:16" x14ac:dyDescent="0.25">
      <c r="A924" t="s">
        <v>1060</v>
      </c>
      <c r="B924" s="5">
        <v>45996</v>
      </c>
      <c r="C924" t="s">
        <v>325</v>
      </c>
      <c r="D924" t="s">
        <v>163</v>
      </c>
      <c r="E924" t="s">
        <v>39</v>
      </c>
      <c r="F924">
        <v>3</v>
      </c>
      <c r="G924" s="1">
        <v>285</v>
      </c>
      <c r="H924" s="1">
        <v>159.12</v>
      </c>
      <c r="I924" s="5">
        <v>45999</v>
      </c>
      <c r="J924" t="s">
        <v>30</v>
      </c>
      <c r="K924" t="s">
        <v>17</v>
      </c>
      <c r="L924" t="s">
        <v>25</v>
      </c>
      <c r="M924" s="1">
        <f>(orders[[#This Row],[Revenue]]-orders[[#This Row],[Cost]])</f>
        <v>125.88</v>
      </c>
      <c r="N924" s="8">
        <f>IFERROR(orders[[#This Row],[profit]]/orders[[#This Row],[Revenue]],0)</f>
        <v>0.44168421052631579</v>
      </c>
      <c r="O924">
        <f>IF(orders[[#This Row],[Delivery Date]]="","",(orders[[#This Row],[Delivery Date]]-orders[[#This Row],[Date]]))</f>
        <v>3</v>
      </c>
      <c r="P924" t="str">
        <f>IF(orders[[#This Row],[delivery days]]="","Not Delivered",IF(orders[[#This Row],[delivery days]]&lt;=2,"Fast",IF(orders[[#This Row],[delivery days]]&lt;=5,"Normal","Delayed")))</f>
        <v>Normal</v>
      </c>
    </row>
    <row r="925" spans="1:16" x14ac:dyDescent="0.25">
      <c r="A925" t="s">
        <v>1061</v>
      </c>
      <c r="B925" s="5">
        <v>45996</v>
      </c>
      <c r="C925" t="s">
        <v>195</v>
      </c>
      <c r="D925" t="s">
        <v>58</v>
      </c>
      <c r="E925" t="s">
        <v>39</v>
      </c>
      <c r="F925">
        <v>1</v>
      </c>
      <c r="G925" s="1">
        <v>1212.5</v>
      </c>
      <c r="H925" s="1">
        <v>900</v>
      </c>
      <c r="I925" s="5">
        <v>45999</v>
      </c>
      <c r="J925" t="s">
        <v>101</v>
      </c>
      <c r="K925" t="s">
        <v>35</v>
      </c>
      <c r="L925" t="s">
        <v>25</v>
      </c>
      <c r="M925" s="1">
        <f>(orders[[#This Row],[Revenue]]-orders[[#This Row],[Cost]])</f>
        <v>312.5</v>
      </c>
      <c r="N925" s="8">
        <f>IFERROR(orders[[#This Row],[profit]]/orders[[#This Row],[Revenue]],0)</f>
        <v>0.25773195876288657</v>
      </c>
      <c r="O925">
        <f>IF(orders[[#This Row],[Delivery Date]]="","",(orders[[#This Row],[Delivery Date]]-orders[[#This Row],[Date]]))</f>
        <v>3</v>
      </c>
      <c r="P925" t="str">
        <f>IF(orders[[#This Row],[delivery days]]="","Not Delivered",IF(orders[[#This Row],[delivery days]]&lt;=2,"Fast",IF(orders[[#This Row],[delivery days]]&lt;=5,"Normal","Delayed")))</f>
        <v>Normal</v>
      </c>
    </row>
    <row r="926" spans="1:16" x14ac:dyDescent="0.25">
      <c r="A926" t="s">
        <v>1062</v>
      </c>
      <c r="B926" s="5">
        <v>45996</v>
      </c>
      <c r="C926" t="s">
        <v>124</v>
      </c>
      <c r="D926" t="s">
        <v>61</v>
      </c>
      <c r="E926" t="s">
        <v>62</v>
      </c>
      <c r="F926">
        <v>1</v>
      </c>
      <c r="G926" s="1">
        <v>32</v>
      </c>
      <c r="H926" s="1">
        <v>14.28</v>
      </c>
      <c r="I926" s="5">
        <v>45998</v>
      </c>
      <c r="J926" t="s">
        <v>30</v>
      </c>
      <c r="K926" t="s">
        <v>35</v>
      </c>
      <c r="L926" t="s">
        <v>25</v>
      </c>
      <c r="M926" s="1">
        <f>(orders[[#This Row],[Revenue]]-orders[[#This Row],[Cost]])</f>
        <v>17.72</v>
      </c>
      <c r="N926" s="8">
        <f>IFERROR(orders[[#This Row],[profit]]/orders[[#This Row],[Revenue]],0)</f>
        <v>0.55374999999999996</v>
      </c>
      <c r="O926">
        <f>IF(orders[[#This Row],[Delivery Date]]="","",(orders[[#This Row],[Delivery Date]]-orders[[#This Row],[Date]]))</f>
        <v>2</v>
      </c>
      <c r="P926" t="str">
        <f>IF(orders[[#This Row],[delivery days]]="","Not Delivered",IF(orders[[#This Row],[delivery days]]&lt;=2,"Fast",IF(orders[[#This Row],[delivery days]]&lt;=5,"Normal","Delayed")))</f>
        <v>Fast</v>
      </c>
    </row>
    <row r="927" spans="1:16" x14ac:dyDescent="0.25">
      <c r="A927" t="s">
        <v>1063</v>
      </c>
      <c r="B927" s="5">
        <v>45996</v>
      </c>
      <c r="C927" t="s">
        <v>325</v>
      </c>
      <c r="D927" t="s">
        <v>168</v>
      </c>
      <c r="E927" t="s">
        <v>29</v>
      </c>
      <c r="F927">
        <v>4</v>
      </c>
      <c r="G927" s="1">
        <v>80.959999999999994</v>
      </c>
      <c r="H927" s="1">
        <v>32</v>
      </c>
      <c r="I927" s="5">
        <v>45998</v>
      </c>
      <c r="J927" t="s">
        <v>30</v>
      </c>
      <c r="K927" t="s">
        <v>17</v>
      </c>
      <c r="L927" t="s">
        <v>25</v>
      </c>
      <c r="M927" s="1">
        <f>(orders[[#This Row],[Revenue]]-orders[[#This Row],[Cost]])</f>
        <v>48.959999999999994</v>
      </c>
      <c r="N927" s="8">
        <f>IFERROR(orders[[#This Row],[profit]]/orders[[#This Row],[Revenue]],0)</f>
        <v>0.60474308300395252</v>
      </c>
      <c r="O927">
        <f>IF(orders[[#This Row],[Delivery Date]]="","",(orders[[#This Row],[Delivery Date]]-orders[[#This Row],[Date]]))</f>
        <v>2</v>
      </c>
      <c r="P927" t="str">
        <f>IF(orders[[#This Row],[delivery days]]="","Not Delivered",IF(orders[[#This Row],[delivery days]]&lt;=2,"Fast",IF(orders[[#This Row],[delivery days]]&lt;=5,"Normal","Delayed")))</f>
        <v>Fast</v>
      </c>
    </row>
    <row r="928" spans="1:16" x14ac:dyDescent="0.25">
      <c r="A928" t="s">
        <v>1064</v>
      </c>
      <c r="B928" s="5">
        <v>45998</v>
      </c>
      <c r="C928" t="s">
        <v>161</v>
      </c>
      <c r="D928" t="s">
        <v>55</v>
      </c>
      <c r="E928" t="s">
        <v>39</v>
      </c>
      <c r="F928">
        <v>4</v>
      </c>
      <c r="G928" s="1">
        <v>1680</v>
      </c>
      <c r="H928" s="1">
        <v>1100</v>
      </c>
      <c r="I928" s="5">
        <v>45999</v>
      </c>
      <c r="J928" t="s">
        <v>30</v>
      </c>
      <c r="K928" t="s">
        <v>35</v>
      </c>
      <c r="L928" t="s">
        <v>25</v>
      </c>
      <c r="M928" s="1">
        <f>(orders[[#This Row],[Revenue]]-orders[[#This Row],[Cost]])</f>
        <v>580</v>
      </c>
      <c r="N928" s="8">
        <f>IFERROR(orders[[#This Row],[profit]]/orders[[#This Row],[Revenue]],0)</f>
        <v>0.34523809523809523</v>
      </c>
      <c r="O928">
        <f>IF(orders[[#This Row],[Delivery Date]]="","",(orders[[#This Row],[Delivery Date]]-orders[[#This Row],[Date]]))</f>
        <v>1</v>
      </c>
      <c r="P928" t="str">
        <f>IF(orders[[#This Row],[delivery days]]="","Not Delivered",IF(orders[[#This Row],[delivery days]]&lt;=2,"Fast",IF(orders[[#This Row],[delivery days]]&lt;=5,"Normal","Delayed")))</f>
        <v>Fast</v>
      </c>
    </row>
    <row r="929" spans="1:16" x14ac:dyDescent="0.25">
      <c r="A929" t="s">
        <v>1065</v>
      </c>
      <c r="B929" s="5">
        <v>45999</v>
      </c>
      <c r="C929" t="s">
        <v>67</v>
      </c>
      <c r="D929" t="s">
        <v>270</v>
      </c>
      <c r="E929" t="s">
        <v>39</v>
      </c>
      <c r="F929">
        <v>5</v>
      </c>
      <c r="G929" s="1">
        <v>231.75</v>
      </c>
      <c r="H929" s="1">
        <v>110</v>
      </c>
      <c r="I929" s="5">
        <v>46003</v>
      </c>
      <c r="J929" t="s">
        <v>23</v>
      </c>
      <c r="K929" t="s">
        <v>24</v>
      </c>
      <c r="L929" t="s">
        <v>25</v>
      </c>
      <c r="M929" s="1">
        <f>(orders[[#This Row],[Revenue]]-orders[[#This Row],[Cost]])</f>
        <v>121.75</v>
      </c>
      <c r="N929" s="8">
        <f>IFERROR(orders[[#This Row],[profit]]/orders[[#This Row],[Revenue]],0)</f>
        <v>0.52535059331175837</v>
      </c>
      <c r="O929">
        <f>IF(orders[[#This Row],[Delivery Date]]="","",(orders[[#This Row],[Delivery Date]]-orders[[#This Row],[Date]]))</f>
        <v>4</v>
      </c>
      <c r="P929" t="str">
        <f>IF(orders[[#This Row],[delivery days]]="","Not Delivered",IF(orders[[#This Row],[delivery days]]&lt;=2,"Fast",IF(orders[[#This Row],[delivery days]]&lt;=5,"Normal","Delayed")))</f>
        <v>Normal</v>
      </c>
    </row>
    <row r="930" spans="1:16" x14ac:dyDescent="0.25">
      <c r="A930" t="s">
        <v>1066</v>
      </c>
      <c r="B930" s="5">
        <v>45999</v>
      </c>
      <c r="C930" t="s">
        <v>149</v>
      </c>
      <c r="D930" t="s">
        <v>270</v>
      </c>
      <c r="E930" t="s">
        <v>39</v>
      </c>
      <c r="F930">
        <v>2</v>
      </c>
      <c r="G930" s="1">
        <v>90</v>
      </c>
      <c r="H930" s="1">
        <v>44.88</v>
      </c>
      <c r="I930" s="5">
        <v>46003</v>
      </c>
      <c r="J930" t="s">
        <v>23</v>
      </c>
      <c r="K930" t="s">
        <v>17</v>
      </c>
      <c r="L930" t="s">
        <v>25</v>
      </c>
      <c r="M930" s="1">
        <f>(orders[[#This Row],[Revenue]]-orders[[#This Row],[Cost]])</f>
        <v>45.12</v>
      </c>
      <c r="N930" s="8">
        <f>IFERROR(orders[[#This Row],[profit]]/orders[[#This Row],[Revenue]],0)</f>
        <v>0.5013333333333333</v>
      </c>
      <c r="O930">
        <f>IF(orders[[#This Row],[Delivery Date]]="","",(orders[[#This Row],[Delivery Date]]-orders[[#This Row],[Date]]))</f>
        <v>4</v>
      </c>
      <c r="P930" t="str">
        <f>IF(orders[[#This Row],[delivery days]]="","Not Delivered",IF(orders[[#This Row],[delivery days]]&lt;=2,"Fast",IF(orders[[#This Row],[delivery days]]&lt;=5,"Normal","Delayed")))</f>
        <v>Normal</v>
      </c>
    </row>
    <row r="931" spans="1:16" x14ac:dyDescent="0.25">
      <c r="A931" t="s">
        <v>1067</v>
      </c>
      <c r="B931" s="5">
        <v>45999</v>
      </c>
      <c r="C931" t="s">
        <v>44</v>
      </c>
      <c r="D931" t="s">
        <v>289</v>
      </c>
      <c r="E931" t="s">
        <v>22</v>
      </c>
      <c r="F931">
        <v>2</v>
      </c>
      <c r="G931" s="1">
        <v>124</v>
      </c>
      <c r="H931" s="1">
        <v>58</v>
      </c>
      <c r="I931" s="5">
        <v>46001</v>
      </c>
      <c r="J931" t="s">
        <v>16</v>
      </c>
      <c r="K931" t="s">
        <v>17</v>
      </c>
      <c r="L931" t="s">
        <v>25</v>
      </c>
      <c r="M931" s="1">
        <f>(orders[[#This Row],[Revenue]]-orders[[#This Row],[Cost]])</f>
        <v>66</v>
      </c>
      <c r="N931" s="8">
        <f>IFERROR(orders[[#This Row],[profit]]/orders[[#This Row],[Revenue]],0)</f>
        <v>0.532258064516129</v>
      </c>
      <c r="O931">
        <f>IF(orders[[#This Row],[Delivery Date]]="","",(orders[[#This Row],[Delivery Date]]-orders[[#This Row],[Date]]))</f>
        <v>2</v>
      </c>
      <c r="P931" t="str">
        <f>IF(orders[[#This Row],[delivery days]]="","Not Delivered",IF(orders[[#This Row],[delivery days]]&lt;=2,"Fast",IF(orders[[#This Row],[delivery days]]&lt;=5,"Normal","Delayed")))</f>
        <v>Fast</v>
      </c>
    </row>
    <row r="932" spans="1:16" x14ac:dyDescent="0.25">
      <c r="A932" t="s">
        <v>1068</v>
      </c>
      <c r="B932" s="5">
        <v>46000</v>
      </c>
      <c r="C932" t="s">
        <v>282</v>
      </c>
      <c r="D932" t="s">
        <v>55</v>
      </c>
      <c r="E932" t="s">
        <v>39</v>
      </c>
      <c r="F932">
        <v>4</v>
      </c>
      <c r="G932" s="1">
        <v>1680</v>
      </c>
      <c r="H932" s="1">
        <v>1078</v>
      </c>
      <c r="I932" s="5"/>
      <c r="J932" t="s">
        <v>46</v>
      </c>
      <c r="K932" t="s">
        <v>24</v>
      </c>
      <c r="L932" t="s">
        <v>42</v>
      </c>
      <c r="M932" s="1">
        <f>(orders[[#This Row],[Revenue]]-orders[[#This Row],[Cost]])</f>
        <v>602</v>
      </c>
      <c r="N932" s="8">
        <f>IFERROR(orders[[#This Row],[profit]]/orders[[#This Row],[Revenue]],0)</f>
        <v>0.35833333333333334</v>
      </c>
      <c r="O932" t="str">
        <f>IF(orders[[#This Row],[Delivery Date]]="","",(orders[[#This Row],[Delivery Date]]-orders[[#This Row],[Date]]))</f>
        <v/>
      </c>
      <c r="P932" t="str">
        <f>IF(orders[[#This Row],[delivery days]]="","Not Delivered",IF(orders[[#This Row],[delivery days]]&lt;=2,"Fast",IF(orders[[#This Row],[delivery days]]&lt;=5,"Normal","Delayed")))</f>
        <v>Not Delivered</v>
      </c>
    </row>
    <row r="933" spans="1:16" x14ac:dyDescent="0.25">
      <c r="A933" t="s">
        <v>1069</v>
      </c>
      <c r="B933" s="5">
        <v>46000</v>
      </c>
      <c r="C933" t="s">
        <v>200</v>
      </c>
      <c r="D933" t="s">
        <v>83</v>
      </c>
      <c r="E933" t="s">
        <v>15</v>
      </c>
      <c r="F933">
        <v>2</v>
      </c>
      <c r="G933" s="1">
        <v>154.5</v>
      </c>
      <c r="H933" s="1">
        <v>78</v>
      </c>
      <c r="I933" s="5">
        <v>46002</v>
      </c>
      <c r="J933" t="s">
        <v>30</v>
      </c>
      <c r="K933" t="s">
        <v>35</v>
      </c>
      <c r="L933" t="s">
        <v>25</v>
      </c>
      <c r="M933" s="1">
        <f>(orders[[#This Row],[Revenue]]-orders[[#This Row],[Cost]])</f>
        <v>76.5</v>
      </c>
      <c r="N933" s="8">
        <f>IFERROR(orders[[#This Row],[profit]]/orders[[#This Row],[Revenue]],0)</f>
        <v>0.49514563106796117</v>
      </c>
      <c r="O933">
        <f>IF(orders[[#This Row],[Delivery Date]]="","",(orders[[#This Row],[Delivery Date]]-orders[[#This Row],[Date]]))</f>
        <v>2</v>
      </c>
      <c r="P933" t="str">
        <f>IF(orders[[#This Row],[delivery days]]="","Not Delivered",IF(orders[[#This Row],[delivery days]]&lt;=2,"Fast",IF(orders[[#This Row],[delivery days]]&lt;=5,"Normal","Delayed")))</f>
        <v>Fast</v>
      </c>
    </row>
    <row r="934" spans="1:16" x14ac:dyDescent="0.25">
      <c r="A934" t="s">
        <v>1070</v>
      </c>
      <c r="B934" s="5">
        <v>46000</v>
      </c>
      <c r="C934" t="s">
        <v>155</v>
      </c>
      <c r="D934" t="s">
        <v>125</v>
      </c>
      <c r="E934" t="s">
        <v>62</v>
      </c>
      <c r="F934">
        <v>2</v>
      </c>
      <c r="G934" s="1">
        <v>290</v>
      </c>
      <c r="H934" s="1">
        <v>167.28</v>
      </c>
      <c r="I934" s="5">
        <v>46002</v>
      </c>
      <c r="J934" t="s">
        <v>30</v>
      </c>
      <c r="K934" t="s">
        <v>35</v>
      </c>
      <c r="L934" t="s">
        <v>25</v>
      </c>
      <c r="M934" s="1">
        <f>(orders[[#This Row],[Revenue]]-orders[[#This Row],[Cost]])</f>
        <v>122.72</v>
      </c>
      <c r="N934" s="8">
        <f>IFERROR(orders[[#This Row],[profit]]/orders[[#This Row],[Revenue]],0)</f>
        <v>0.42317241379310344</v>
      </c>
      <c r="O934">
        <f>IF(orders[[#This Row],[Delivery Date]]="","",(orders[[#This Row],[Delivery Date]]-orders[[#This Row],[Date]]))</f>
        <v>2</v>
      </c>
      <c r="P934" t="str">
        <f>IF(orders[[#This Row],[delivery days]]="","Not Delivered",IF(orders[[#This Row],[delivery days]]&lt;=2,"Fast",IF(orders[[#This Row],[delivery days]]&lt;=5,"Normal","Delayed")))</f>
        <v>Fast</v>
      </c>
    </row>
    <row r="935" spans="1:16" x14ac:dyDescent="0.25">
      <c r="A935" t="s">
        <v>1071</v>
      </c>
      <c r="B935" s="5">
        <v>46001</v>
      </c>
      <c r="C935" t="s">
        <v>32</v>
      </c>
      <c r="D935" t="s">
        <v>300</v>
      </c>
      <c r="E935" t="s">
        <v>77</v>
      </c>
      <c r="F935">
        <v>1</v>
      </c>
      <c r="G935" s="1">
        <v>390</v>
      </c>
      <c r="H935" s="1">
        <v>245</v>
      </c>
      <c r="I935" s="5">
        <v>46004</v>
      </c>
      <c r="J935" t="s">
        <v>101</v>
      </c>
      <c r="K935" t="s">
        <v>35</v>
      </c>
      <c r="L935" t="s">
        <v>25</v>
      </c>
      <c r="M935" s="1">
        <f>(orders[[#This Row],[Revenue]]-orders[[#This Row],[Cost]])</f>
        <v>145</v>
      </c>
      <c r="N935" s="8">
        <f>IFERROR(orders[[#This Row],[profit]]/orders[[#This Row],[Revenue]],0)</f>
        <v>0.37179487179487181</v>
      </c>
      <c r="O935">
        <f>IF(orders[[#This Row],[Delivery Date]]="","",(orders[[#This Row],[Delivery Date]]-orders[[#This Row],[Date]]))</f>
        <v>3</v>
      </c>
      <c r="P935" t="str">
        <f>IF(orders[[#This Row],[delivery days]]="","Not Delivered",IF(orders[[#This Row],[delivery days]]&lt;=2,"Fast",IF(orders[[#This Row],[delivery days]]&lt;=5,"Normal","Delayed")))</f>
        <v>Normal</v>
      </c>
    </row>
    <row r="936" spans="1:16" x14ac:dyDescent="0.25">
      <c r="A936" t="s">
        <v>1072</v>
      </c>
      <c r="B936" s="5">
        <v>46001</v>
      </c>
      <c r="C936" t="s">
        <v>191</v>
      </c>
      <c r="D936" t="s">
        <v>97</v>
      </c>
      <c r="E936" t="s">
        <v>39</v>
      </c>
      <c r="F936">
        <v>2</v>
      </c>
      <c r="G936" s="1">
        <v>780</v>
      </c>
      <c r="H936" s="1">
        <v>520</v>
      </c>
      <c r="I936" s="5">
        <v>46002</v>
      </c>
      <c r="J936" t="s">
        <v>30</v>
      </c>
      <c r="K936" t="s">
        <v>17</v>
      </c>
      <c r="L936" t="s">
        <v>25</v>
      </c>
      <c r="M936" s="1">
        <f>(orders[[#This Row],[Revenue]]-orders[[#This Row],[Cost]])</f>
        <v>260</v>
      </c>
      <c r="N936" s="8">
        <f>IFERROR(orders[[#This Row],[profit]]/orders[[#This Row],[Revenue]],0)</f>
        <v>0.33333333333333331</v>
      </c>
      <c r="O936">
        <f>IF(orders[[#This Row],[Delivery Date]]="","",(orders[[#This Row],[Delivery Date]]-orders[[#This Row],[Date]]))</f>
        <v>1</v>
      </c>
      <c r="P936" t="str">
        <f>IF(orders[[#This Row],[delivery days]]="","Not Delivered",IF(orders[[#This Row],[delivery days]]&lt;=2,"Fast",IF(orders[[#This Row],[delivery days]]&lt;=5,"Normal","Delayed")))</f>
        <v>Fast</v>
      </c>
    </row>
    <row r="937" spans="1:16" x14ac:dyDescent="0.25">
      <c r="A937" t="s">
        <v>1073</v>
      </c>
      <c r="B937" s="5">
        <v>46001</v>
      </c>
      <c r="C937" t="s">
        <v>181</v>
      </c>
      <c r="D937" t="s">
        <v>51</v>
      </c>
      <c r="E937" t="s">
        <v>34</v>
      </c>
      <c r="F937">
        <v>3</v>
      </c>
      <c r="G937" s="1">
        <v>255</v>
      </c>
      <c r="H937" s="1">
        <v>123.48</v>
      </c>
      <c r="I937" s="5">
        <v>46003</v>
      </c>
      <c r="J937" t="s">
        <v>30</v>
      </c>
      <c r="K937" t="s">
        <v>35</v>
      </c>
      <c r="L937" t="s">
        <v>25</v>
      </c>
      <c r="M937" s="1">
        <f>(orders[[#This Row],[Revenue]]-orders[[#This Row],[Cost]])</f>
        <v>131.51999999999998</v>
      </c>
      <c r="N937" s="8">
        <f>IFERROR(orders[[#This Row],[profit]]/orders[[#This Row],[Revenue]],0)</f>
        <v>0.5157647058823529</v>
      </c>
      <c r="O937">
        <f>IF(orders[[#This Row],[Delivery Date]]="","",(orders[[#This Row],[Delivery Date]]-orders[[#This Row],[Date]]))</f>
        <v>2</v>
      </c>
      <c r="P937" t="str">
        <f>IF(orders[[#This Row],[delivery days]]="","Not Delivered",IF(orders[[#This Row],[delivery days]]&lt;=2,"Fast",IF(orders[[#This Row],[delivery days]]&lt;=5,"Normal","Delayed")))</f>
        <v>Fast</v>
      </c>
    </row>
    <row r="938" spans="1:16" x14ac:dyDescent="0.25">
      <c r="A938" t="s">
        <v>1074</v>
      </c>
      <c r="B938" s="5">
        <v>46002</v>
      </c>
      <c r="C938" t="s">
        <v>72</v>
      </c>
      <c r="D938" t="s">
        <v>58</v>
      </c>
      <c r="E938" t="s">
        <v>39</v>
      </c>
      <c r="F938">
        <v>3</v>
      </c>
      <c r="G938" s="1">
        <v>3750</v>
      </c>
      <c r="H938" s="1">
        <v>2700</v>
      </c>
      <c r="I938" s="5"/>
      <c r="J938" t="s">
        <v>30</v>
      </c>
      <c r="K938" t="s">
        <v>35</v>
      </c>
      <c r="L938" t="s">
        <v>42</v>
      </c>
      <c r="M938" s="1">
        <f>(orders[[#This Row],[Revenue]]-orders[[#This Row],[Cost]])</f>
        <v>1050</v>
      </c>
      <c r="N938" s="8">
        <f>IFERROR(orders[[#This Row],[profit]]/orders[[#This Row],[Revenue]],0)</f>
        <v>0.28000000000000003</v>
      </c>
      <c r="O938" t="str">
        <f>IF(orders[[#This Row],[Delivery Date]]="","",(orders[[#This Row],[Delivery Date]]-orders[[#This Row],[Date]]))</f>
        <v/>
      </c>
      <c r="P938" t="str">
        <f>IF(orders[[#This Row],[delivery days]]="","Not Delivered",IF(orders[[#This Row],[delivery days]]&lt;=2,"Fast",IF(orders[[#This Row],[delivery days]]&lt;=5,"Normal","Delayed")))</f>
        <v>Not Delivered</v>
      </c>
    </row>
    <row r="939" spans="1:16" x14ac:dyDescent="0.25">
      <c r="A939" t="s">
        <v>1075</v>
      </c>
      <c r="B939" s="5">
        <v>46002</v>
      </c>
      <c r="C939" t="s">
        <v>176</v>
      </c>
      <c r="D939" t="s">
        <v>97</v>
      </c>
      <c r="E939" t="s">
        <v>39</v>
      </c>
      <c r="F939">
        <v>2</v>
      </c>
      <c r="G939" s="1">
        <v>717.6</v>
      </c>
      <c r="H939" s="1">
        <v>530.4</v>
      </c>
      <c r="I939" s="5">
        <v>46006</v>
      </c>
      <c r="J939" t="s">
        <v>30</v>
      </c>
      <c r="K939" t="s">
        <v>17</v>
      </c>
      <c r="L939" t="s">
        <v>25</v>
      </c>
      <c r="M939" s="1">
        <f>(orders[[#This Row],[Revenue]]-orders[[#This Row],[Cost]])</f>
        <v>187.20000000000005</v>
      </c>
      <c r="N939" s="8">
        <f>IFERROR(orders[[#This Row],[profit]]/orders[[#This Row],[Revenue]],0)</f>
        <v>0.26086956521739135</v>
      </c>
      <c r="O939">
        <f>IF(orders[[#This Row],[Delivery Date]]="","",(orders[[#This Row],[Delivery Date]]-orders[[#This Row],[Date]]))</f>
        <v>4</v>
      </c>
      <c r="P939" t="str">
        <f>IF(orders[[#This Row],[delivery days]]="","Not Delivered",IF(orders[[#This Row],[delivery days]]&lt;=2,"Fast",IF(orders[[#This Row],[delivery days]]&lt;=5,"Normal","Delayed")))</f>
        <v>Normal</v>
      </c>
    </row>
    <row r="940" spans="1:16" x14ac:dyDescent="0.25">
      <c r="A940" t="s">
        <v>1076</v>
      </c>
      <c r="B940" s="5">
        <v>46002</v>
      </c>
      <c r="C940" t="s">
        <v>155</v>
      </c>
      <c r="D940" t="s">
        <v>70</v>
      </c>
      <c r="E940" t="s">
        <v>62</v>
      </c>
      <c r="F940">
        <v>1</v>
      </c>
      <c r="G940" s="1">
        <v>135</v>
      </c>
      <c r="H940" s="1">
        <v>78</v>
      </c>
      <c r="I940" s="5">
        <v>46005</v>
      </c>
      <c r="J940" t="s">
        <v>16</v>
      </c>
      <c r="K940" t="s">
        <v>17</v>
      </c>
      <c r="L940" t="s">
        <v>25</v>
      </c>
      <c r="M940" s="1">
        <f>(orders[[#This Row],[Revenue]]-orders[[#This Row],[Cost]])</f>
        <v>57</v>
      </c>
      <c r="N940" s="8">
        <f>IFERROR(orders[[#This Row],[profit]]/orders[[#This Row],[Revenue]],0)</f>
        <v>0.42222222222222222</v>
      </c>
      <c r="O940">
        <f>IF(orders[[#This Row],[Delivery Date]]="","",(orders[[#This Row],[Delivery Date]]-orders[[#This Row],[Date]]))</f>
        <v>3</v>
      </c>
      <c r="P940" t="str">
        <f>IF(orders[[#This Row],[delivery days]]="","Not Delivered",IF(orders[[#This Row],[delivery days]]&lt;=2,"Fast",IF(orders[[#This Row],[delivery days]]&lt;=5,"Normal","Delayed")))</f>
        <v>Normal</v>
      </c>
    </row>
    <row r="941" spans="1:16" x14ac:dyDescent="0.25">
      <c r="A941" t="s">
        <v>1077</v>
      </c>
      <c r="B941" s="5">
        <v>46003</v>
      </c>
      <c r="C941" t="s">
        <v>171</v>
      </c>
      <c r="D941" t="s">
        <v>215</v>
      </c>
      <c r="E941" t="s">
        <v>62</v>
      </c>
      <c r="F941">
        <v>1</v>
      </c>
      <c r="G941" s="1">
        <v>237.6</v>
      </c>
      <c r="H941" s="1">
        <v>142</v>
      </c>
      <c r="I941" s="5">
        <v>46009</v>
      </c>
      <c r="J941" t="s">
        <v>101</v>
      </c>
      <c r="K941" t="s">
        <v>35</v>
      </c>
      <c r="L941" t="s">
        <v>25</v>
      </c>
      <c r="M941" s="1">
        <f>(orders[[#This Row],[Revenue]]-orders[[#This Row],[Cost]])</f>
        <v>95.6</v>
      </c>
      <c r="N941" s="8">
        <f>IFERROR(orders[[#This Row],[profit]]/orders[[#This Row],[Revenue]],0)</f>
        <v>0.40235690235690236</v>
      </c>
      <c r="O941">
        <f>IF(orders[[#This Row],[Delivery Date]]="","",(orders[[#This Row],[Delivery Date]]-orders[[#This Row],[Date]]))</f>
        <v>6</v>
      </c>
      <c r="P941" t="str">
        <f>IF(orders[[#This Row],[delivery days]]="","Not Delivered",IF(orders[[#This Row],[delivery days]]&lt;=2,"Fast",IF(orders[[#This Row],[delivery days]]&lt;=5,"Normal","Delayed")))</f>
        <v>Delayed</v>
      </c>
    </row>
    <row r="942" spans="1:16" x14ac:dyDescent="0.25">
      <c r="A942" t="s">
        <v>1078</v>
      </c>
      <c r="B942" s="5">
        <v>46003</v>
      </c>
      <c r="C942" t="s">
        <v>112</v>
      </c>
      <c r="D942" t="s">
        <v>308</v>
      </c>
      <c r="E942" t="s">
        <v>22</v>
      </c>
      <c r="F942">
        <v>2</v>
      </c>
      <c r="G942" s="1">
        <v>162</v>
      </c>
      <c r="H942" s="1">
        <v>66.64</v>
      </c>
      <c r="I942" s="5">
        <v>46006</v>
      </c>
      <c r="J942" t="s">
        <v>101</v>
      </c>
      <c r="K942" t="s">
        <v>35</v>
      </c>
      <c r="L942" t="s">
        <v>25</v>
      </c>
      <c r="M942" s="1">
        <f>(orders[[#This Row],[Revenue]]-orders[[#This Row],[Cost]])</f>
        <v>95.36</v>
      </c>
      <c r="N942" s="8">
        <f>IFERROR(orders[[#This Row],[profit]]/orders[[#This Row],[Revenue]],0)</f>
        <v>0.58864197530864193</v>
      </c>
      <c r="O942">
        <f>IF(orders[[#This Row],[Delivery Date]]="","",(orders[[#This Row],[Delivery Date]]-orders[[#This Row],[Date]]))</f>
        <v>3</v>
      </c>
      <c r="P942" t="str">
        <f>IF(orders[[#This Row],[delivery days]]="","Not Delivered",IF(orders[[#This Row],[delivery days]]&lt;=2,"Fast",IF(orders[[#This Row],[delivery days]]&lt;=5,"Normal","Delayed")))</f>
        <v>Normal</v>
      </c>
    </row>
    <row r="943" spans="1:16" x14ac:dyDescent="0.25">
      <c r="A943" t="s">
        <v>1079</v>
      </c>
      <c r="B943" s="5">
        <v>46003</v>
      </c>
      <c r="C943" t="s">
        <v>174</v>
      </c>
      <c r="D943" t="s">
        <v>45</v>
      </c>
      <c r="E943" t="s">
        <v>34</v>
      </c>
      <c r="F943">
        <v>2</v>
      </c>
      <c r="G943" s="1">
        <v>144</v>
      </c>
      <c r="H943" s="1">
        <v>62</v>
      </c>
      <c r="I943" s="5"/>
      <c r="J943" t="s">
        <v>46</v>
      </c>
      <c r="K943" t="s">
        <v>47</v>
      </c>
      <c r="L943" t="s">
        <v>42</v>
      </c>
      <c r="M943" s="1">
        <f>(orders[[#This Row],[Revenue]]-orders[[#This Row],[Cost]])</f>
        <v>82</v>
      </c>
      <c r="N943" s="8">
        <f>IFERROR(orders[[#This Row],[profit]]/orders[[#This Row],[Revenue]],0)</f>
        <v>0.56944444444444442</v>
      </c>
      <c r="O943" t="str">
        <f>IF(orders[[#This Row],[Delivery Date]]="","",(orders[[#This Row],[Delivery Date]]-orders[[#This Row],[Date]]))</f>
        <v/>
      </c>
      <c r="P943" t="str">
        <f>IF(orders[[#This Row],[delivery days]]="","Not Delivered",IF(orders[[#This Row],[delivery days]]&lt;=2,"Fast",IF(orders[[#This Row],[delivery days]]&lt;=5,"Normal","Delayed")))</f>
        <v>Not Delivered</v>
      </c>
    </row>
    <row r="944" spans="1:16" x14ac:dyDescent="0.25">
      <c r="A944" t="s">
        <v>1080</v>
      </c>
      <c r="B944" s="5">
        <v>46003</v>
      </c>
      <c r="C944" t="s">
        <v>69</v>
      </c>
      <c r="D944" t="s">
        <v>86</v>
      </c>
      <c r="E944" t="s">
        <v>29</v>
      </c>
      <c r="F944">
        <v>3</v>
      </c>
      <c r="G944" s="1">
        <v>87</v>
      </c>
      <c r="H944" s="1">
        <v>36</v>
      </c>
      <c r="I944" s="5">
        <v>46005</v>
      </c>
      <c r="J944" t="s">
        <v>52</v>
      </c>
      <c r="K944" t="s">
        <v>47</v>
      </c>
      <c r="L944" t="s">
        <v>18</v>
      </c>
      <c r="M944" s="1">
        <f>(orders[[#This Row],[Revenue]]-orders[[#This Row],[Cost]])</f>
        <v>51</v>
      </c>
      <c r="N944" s="8">
        <f>IFERROR(orders[[#This Row],[profit]]/orders[[#This Row],[Revenue]],0)</f>
        <v>0.58620689655172409</v>
      </c>
      <c r="O944">
        <f>IF(orders[[#This Row],[Delivery Date]]="","",(orders[[#This Row],[Delivery Date]]-orders[[#This Row],[Date]]))</f>
        <v>2</v>
      </c>
      <c r="P944" t="str">
        <f>IF(orders[[#This Row],[delivery days]]="","Not Delivered",IF(orders[[#This Row],[delivery days]]&lt;=2,"Fast",IF(orders[[#This Row],[delivery days]]&lt;=5,"Normal","Delayed")))</f>
        <v>Fast</v>
      </c>
    </row>
    <row r="945" spans="1:16" x14ac:dyDescent="0.25">
      <c r="A945" t="s">
        <v>1081</v>
      </c>
      <c r="B945" s="5">
        <v>46003</v>
      </c>
      <c r="C945" t="s">
        <v>139</v>
      </c>
      <c r="D945" t="s">
        <v>33</v>
      </c>
      <c r="E945" t="s">
        <v>34</v>
      </c>
      <c r="F945">
        <v>2</v>
      </c>
      <c r="G945" s="1">
        <v>116</v>
      </c>
      <c r="H945" s="1">
        <v>51</v>
      </c>
      <c r="I945" s="5"/>
      <c r="J945" t="s">
        <v>16</v>
      </c>
      <c r="K945" t="s">
        <v>17</v>
      </c>
      <c r="L945" t="s">
        <v>103</v>
      </c>
      <c r="M945" s="1">
        <f>(orders[[#This Row],[Revenue]]-orders[[#This Row],[Cost]])</f>
        <v>65</v>
      </c>
      <c r="N945" s="8">
        <f>IFERROR(orders[[#This Row],[profit]]/orders[[#This Row],[Revenue]],0)</f>
        <v>0.56034482758620685</v>
      </c>
      <c r="O945" t="str">
        <f>IF(orders[[#This Row],[Delivery Date]]="","",(orders[[#This Row],[Delivery Date]]-orders[[#This Row],[Date]]))</f>
        <v/>
      </c>
      <c r="P945" t="str">
        <f>IF(orders[[#This Row],[delivery days]]="","Not Delivered",IF(orders[[#This Row],[delivery days]]&lt;=2,"Fast",IF(orders[[#This Row],[delivery days]]&lt;=5,"Normal","Delayed")))</f>
        <v>Not Delivered</v>
      </c>
    </row>
    <row r="946" spans="1:16" x14ac:dyDescent="0.25">
      <c r="A946" t="s">
        <v>1082</v>
      </c>
      <c r="B946" s="5">
        <v>46003</v>
      </c>
      <c r="C946" t="s">
        <v>32</v>
      </c>
      <c r="D946" t="s">
        <v>83</v>
      </c>
      <c r="E946" t="s">
        <v>15</v>
      </c>
      <c r="F946">
        <v>1</v>
      </c>
      <c r="G946" s="1">
        <v>75</v>
      </c>
      <c r="H946" s="1">
        <v>39</v>
      </c>
      <c r="I946" s="5">
        <v>46004</v>
      </c>
      <c r="J946" t="s">
        <v>30</v>
      </c>
      <c r="K946" t="s">
        <v>35</v>
      </c>
      <c r="L946" t="s">
        <v>25</v>
      </c>
      <c r="M946" s="1">
        <f>(orders[[#This Row],[Revenue]]-orders[[#This Row],[Cost]])</f>
        <v>36</v>
      </c>
      <c r="N946" s="8">
        <f>IFERROR(orders[[#This Row],[profit]]/orders[[#This Row],[Revenue]],0)</f>
        <v>0.48</v>
      </c>
      <c r="O946">
        <f>IF(orders[[#This Row],[Delivery Date]]="","",(orders[[#This Row],[Delivery Date]]-orders[[#This Row],[Date]]))</f>
        <v>1</v>
      </c>
      <c r="P946" t="str">
        <f>IF(orders[[#This Row],[delivery days]]="","Not Delivered",IF(orders[[#This Row],[delivery days]]&lt;=2,"Fast",IF(orders[[#This Row],[delivery days]]&lt;=5,"Normal","Delayed")))</f>
        <v>Fast</v>
      </c>
    </row>
    <row r="947" spans="1:16" x14ac:dyDescent="0.25">
      <c r="A947" t="s">
        <v>1083</v>
      </c>
      <c r="B947" s="5">
        <v>46004</v>
      </c>
      <c r="C947" t="s">
        <v>195</v>
      </c>
      <c r="D947" t="s">
        <v>38</v>
      </c>
      <c r="E947" t="s">
        <v>39</v>
      </c>
      <c r="F947">
        <v>1</v>
      </c>
      <c r="G947" s="1">
        <v>850</v>
      </c>
      <c r="H947" s="1">
        <v>610</v>
      </c>
      <c r="I947" s="5">
        <v>46007</v>
      </c>
      <c r="J947" t="s">
        <v>16</v>
      </c>
      <c r="K947" t="s">
        <v>17</v>
      </c>
      <c r="L947" t="s">
        <v>25</v>
      </c>
      <c r="M947" s="1">
        <f>(orders[[#This Row],[Revenue]]-orders[[#This Row],[Cost]])</f>
        <v>240</v>
      </c>
      <c r="N947" s="8">
        <f>IFERROR(orders[[#This Row],[profit]]/orders[[#This Row],[Revenue]],0)</f>
        <v>0.28235294117647058</v>
      </c>
      <c r="O947">
        <f>IF(orders[[#This Row],[Delivery Date]]="","",(orders[[#This Row],[Delivery Date]]-orders[[#This Row],[Date]]))</f>
        <v>3</v>
      </c>
      <c r="P947" t="str">
        <f>IF(orders[[#This Row],[delivery days]]="","Not Delivered",IF(orders[[#This Row],[delivery days]]&lt;=2,"Fast",IF(orders[[#This Row],[delivery days]]&lt;=5,"Normal","Delayed")))</f>
        <v>Normal</v>
      </c>
    </row>
    <row r="948" spans="1:16" x14ac:dyDescent="0.25">
      <c r="A948" t="s">
        <v>1084</v>
      </c>
      <c r="B948" s="5">
        <v>46004</v>
      </c>
      <c r="C948" t="s">
        <v>92</v>
      </c>
      <c r="D948" t="s">
        <v>127</v>
      </c>
      <c r="E948" t="s">
        <v>29</v>
      </c>
      <c r="F948">
        <v>2</v>
      </c>
      <c r="G948" s="1">
        <v>36</v>
      </c>
      <c r="H948" s="1">
        <v>12</v>
      </c>
      <c r="I948" s="5">
        <v>46005</v>
      </c>
      <c r="J948" t="s">
        <v>30</v>
      </c>
      <c r="K948" t="s">
        <v>35</v>
      </c>
      <c r="L948" t="s">
        <v>25</v>
      </c>
      <c r="M948" s="1">
        <f>(orders[[#This Row],[Revenue]]-orders[[#This Row],[Cost]])</f>
        <v>24</v>
      </c>
      <c r="N948" s="8">
        <f>IFERROR(orders[[#This Row],[profit]]/orders[[#This Row],[Revenue]],0)</f>
        <v>0.66666666666666663</v>
      </c>
      <c r="O948">
        <f>IF(orders[[#This Row],[Delivery Date]]="","",(orders[[#This Row],[Delivery Date]]-orders[[#This Row],[Date]]))</f>
        <v>1</v>
      </c>
      <c r="P948" t="str">
        <f>IF(orders[[#This Row],[delivery days]]="","Not Delivered",IF(orders[[#This Row],[delivery days]]&lt;=2,"Fast",IF(orders[[#This Row],[delivery days]]&lt;=5,"Normal","Delayed")))</f>
        <v>Fast</v>
      </c>
    </row>
    <row r="949" spans="1:16" x14ac:dyDescent="0.25">
      <c r="A949" t="s">
        <v>1085</v>
      </c>
      <c r="B949" s="5">
        <v>46004</v>
      </c>
      <c r="C949" t="s">
        <v>49</v>
      </c>
      <c r="D949" t="s">
        <v>187</v>
      </c>
      <c r="E949" t="s">
        <v>15</v>
      </c>
      <c r="F949">
        <v>1</v>
      </c>
      <c r="G949" s="1">
        <v>36.049999999999997</v>
      </c>
      <c r="H949" s="1">
        <v>16.32</v>
      </c>
      <c r="I949" s="5">
        <v>46009</v>
      </c>
      <c r="J949" t="s">
        <v>23</v>
      </c>
      <c r="K949" t="s">
        <v>24</v>
      </c>
      <c r="L949" t="s">
        <v>25</v>
      </c>
      <c r="M949" s="1">
        <f>(orders[[#This Row],[Revenue]]-orders[[#This Row],[Cost]])</f>
        <v>19.729999999999997</v>
      </c>
      <c r="N949" s="8">
        <f>IFERROR(orders[[#This Row],[profit]]/orders[[#This Row],[Revenue]],0)</f>
        <v>0.54729542302357836</v>
      </c>
      <c r="O949">
        <f>IF(orders[[#This Row],[Delivery Date]]="","",(orders[[#This Row],[Delivery Date]]-orders[[#This Row],[Date]]))</f>
        <v>5</v>
      </c>
      <c r="P949" t="str">
        <f>IF(orders[[#This Row],[delivery days]]="","Not Delivered",IF(orders[[#This Row],[delivery days]]&lt;=2,"Fast",IF(orders[[#This Row],[delivery days]]&lt;=5,"Normal","Delayed")))</f>
        <v>Normal</v>
      </c>
    </row>
    <row r="950" spans="1:16" x14ac:dyDescent="0.25">
      <c r="A950" t="s">
        <v>1086</v>
      </c>
      <c r="B950" s="5">
        <v>46004</v>
      </c>
      <c r="C950" t="s">
        <v>171</v>
      </c>
      <c r="D950" t="s">
        <v>55</v>
      </c>
      <c r="E950" t="s">
        <v>39</v>
      </c>
      <c r="F950">
        <v>3</v>
      </c>
      <c r="G950" s="1">
        <v>1297.8</v>
      </c>
      <c r="H950" s="1">
        <v>825</v>
      </c>
      <c r="I950" s="5">
        <v>46009</v>
      </c>
      <c r="J950" t="s">
        <v>16</v>
      </c>
      <c r="K950" t="s">
        <v>17</v>
      </c>
      <c r="L950" t="s">
        <v>25</v>
      </c>
      <c r="M950" s="1">
        <f>(orders[[#This Row],[Revenue]]-orders[[#This Row],[Cost]])</f>
        <v>472.79999999999995</v>
      </c>
      <c r="N950" s="8">
        <f>IFERROR(orders[[#This Row],[profit]]/orders[[#This Row],[Revenue]],0)</f>
        <v>0.36430883032824779</v>
      </c>
      <c r="O950">
        <f>IF(orders[[#This Row],[Delivery Date]]="","",(orders[[#This Row],[Delivery Date]]-orders[[#This Row],[Date]]))</f>
        <v>5</v>
      </c>
      <c r="P950" t="str">
        <f>IF(orders[[#This Row],[delivery days]]="","Not Delivered",IF(orders[[#This Row],[delivery days]]&lt;=2,"Fast",IF(orders[[#This Row],[delivery days]]&lt;=5,"Normal","Delayed")))</f>
        <v>Normal</v>
      </c>
    </row>
    <row r="951" spans="1:16" x14ac:dyDescent="0.25">
      <c r="A951" t="s">
        <v>1087</v>
      </c>
      <c r="B951" s="5">
        <v>46005</v>
      </c>
      <c r="C951" t="s">
        <v>124</v>
      </c>
      <c r="D951" t="s">
        <v>61</v>
      </c>
      <c r="E951" t="s">
        <v>62</v>
      </c>
      <c r="F951">
        <v>2</v>
      </c>
      <c r="G951" s="1">
        <v>64</v>
      </c>
      <c r="H951" s="1">
        <v>28</v>
      </c>
      <c r="I951" s="5">
        <v>46007</v>
      </c>
      <c r="J951" t="s">
        <v>16</v>
      </c>
      <c r="K951" t="s">
        <v>35</v>
      </c>
      <c r="L951" t="s">
        <v>25</v>
      </c>
      <c r="M951" s="1">
        <f>(orders[[#This Row],[Revenue]]-orders[[#This Row],[Cost]])</f>
        <v>36</v>
      </c>
      <c r="N951" s="8">
        <f>IFERROR(orders[[#This Row],[profit]]/orders[[#This Row],[Revenue]],0)</f>
        <v>0.5625</v>
      </c>
      <c r="O951">
        <f>IF(orders[[#This Row],[Delivery Date]]="","",(orders[[#This Row],[Delivery Date]]-orders[[#This Row],[Date]]))</f>
        <v>2</v>
      </c>
      <c r="P951" t="str">
        <f>IF(orders[[#This Row],[delivery days]]="","Not Delivered",IF(orders[[#This Row],[delivery days]]&lt;=2,"Fast",IF(orders[[#This Row],[delivery days]]&lt;=5,"Normal","Delayed")))</f>
        <v>Fast</v>
      </c>
    </row>
    <row r="952" spans="1:16" x14ac:dyDescent="0.25">
      <c r="A952" t="s">
        <v>1088</v>
      </c>
      <c r="B952" s="5">
        <v>46005</v>
      </c>
      <c r="C952" t="s">
        <v>32</v>
      </c>
      <c r="D952" t="s">
        <v>51</v>
      </c>
      <c r="E952" t="s">
        <v>34</v>
      </c>
      <c r="F952">
        <v>2</v>
      </c>
      <c r="G952" s="1">
        <v>170</v>
      </c>
      <c r="H952" s="1">
        <v>84</v>
      </c>
      <c r="I952" s="5">
        <v>46007</v>
      </c>
      <c r="J952" t="s">
        <v>30</v>
      </c>
      <c r="K952" t="s">
        <v>17</v>
      </c>
      <c r="L952" t="s">
        <v>25</v>
      </c>
      <c r="M952" s="1">
        <f>(orders[[#This Row],[Revenue]]-orders[[#This Row],[Cost]])</f>
        <v>86</v>
      </c>
      <c r="N952" s="8">
        <f>IFERROR(orders[[#This Row],[profit]]/orders[[#This Row],[Revenue]],0)</f>
        <v>0.50588235294117645</v>
      </c>
      <c r="O952">
        <f>IF(orders[[#This Row],[Delivery Date]]="","",(orders[[#This Row],[Delivery Date]]-orders[[#This Row],[Date]]))</f>
        <v>2</v>
      </c>
      <c r="P952" t="str">
        <f>IF(orders[[#This Row],[delivery days]]="","Not Delivered",IF(orders[[#This Row],[delivery days]]&lt;=2,"Fast",IF(orders[[#This Row],[delivery days]]&lt;=5,"Normal","Delayed")))</f>
        <v>Fast</v>
      </c>
    </row>
    <row r="953" spans="1:16" x14ac:dyDescent="0.25">
      <c r="A953" t="s">
        <v>1089</v>
      </c>
      <c r="B953" s="5">
        <v>46005</v>
      </c>
      <c r="C953" t="s">
        <v>259</v>
      </c>
      <c r="D953" t="s">
        <v>61</v>
      </c>
      <c r="E953" t="s">
        <v>62</v>
      </c>
      <c r="F953">
        <v>3</v>
      </c>
      <c r="G953" s="1">
        <v>93.12</v>
      </c>
      <c r="H953" s="1">
        <v>42</v>
      </c>
      <c r="I953" s="5">
        <v>46008</v>
      </c>
      <c r="J953" t="s">
        <v>46</v>
      </c>
      <c r="K953" t="s">
        <v>47</v>
      </c>
      <c r="L953" t="s">
        <v>25</v>
      </c>
      <c r="M953" s="1">
        <f>(orders[[#This Row],[Revenue]]-orders[[#This Row],[Cost]])</f>
        <v>51.120000000000005</v>
      </c>
      <c r="N953" s="8">
        <f>IFERROR(orders[[#This Row],[profit]]/orders[[#This Row],[Revenue]],0)</f>
        <v>0.5489690721649485</v>
      </c>
      <c r="O953">
        <f>IF(orders[[#This Row],[Delivery Date]]="","",(orders[[#This Row],[Delivery Date]]-orders[[#This Row],[Date]]))</f>
        <v>3</v>
      </c>
      <c r="P953" t="str">
        <f>IF(orders[[#This Row],[delivery days]]="","Not Delivered",IF(orders[[#This Row],[delivery days]]&lt;=2,"Fast",IF(orders[[#This Row],[delivery days]]&lt;=5,"Normal","Delayed")))</f>
        <v>Normal</v>
      </c>
    </row>
    <row r="954" spans="1:16" x14ac:dyDescent="0.25">
      <c r="A954" t="s">
        <v>1090</v>
      </c>
      <c r="B954" s="5">
        <v>46005</v>
      </c>
      <c r="C954" t="s">
        <v>112</v>
      </c>
      <c r="D954" t="s">
        <v>177</v>
      </c>
      <c r="E954" t="s">
        <v>34</v>
      </c>
      <c r="F954">
        <v>5</v>
      </c>
      <c r="G954" s="1">
        <v>725</v>
      </c>
      <c r="H954" s="1">
        <v>390</v>
      </c>
      <c r="I954" s="5">
        <v>46008</v>
      </c>
      <c r="J954" t="s">
        <v>30</v>
      </c>
      <c r="K954" t="s">
        <v>17</v>
      </c>
      <c r="L954" t="s">
        <v>25</v>
      </c>
      <c r="M954" s="1">
        <f>(orders[[#This Row],[Revenue]]-orders[[#This Row],[Cost]])</f>
        <v>335</v>
      </c>
      <c r="N954" s="8">
        <f>IFERROR(orders[[#This Row],[profit]]/orders[[#This Row],[Revenue]],0)</f>
        <v>0.46206896551724136</v>
      </c>
      <c r="O954">
        <f>IF(orders[[#This Row],[Delivery Date]]="","",(orders[[#This Row],[Delivery Date]]-orders[[#This Row],[Date]]))</f>
        <v>3</v>
      </c>
      <c r="P954" t="str">
        <f>IF(orders[[#This Row],[delivery days]]="","Not Delivered",IF(orders[[#This Row],[delivery days]]&lt;=2,"Fast",IF(orders[[#This Row],[delivery days]]&lt;=5,"Normal","Delayed")))</f>
        <v>Normal</v>
      </c>
    </row>
    <row r="955" spans="1:16" x14ac:dyDescent="0.25">
      <c r="A955" t="s">
        <v>1091</v>
      </c>
      <c r="B955" s="5">
        <v>46005</v>
      </c>
      <c r="C955" t="s">
        <v>96</v>
      </c>
      <c r="D955" t="s">
        <v>108</v>
      </c>
      <c r="E955" t="s">
        <v>22</v>
      </c>
      <c r="F955">
        <v>1</v>
      </c>
      <c r="G955" s="1">
        <v>87.4</v>
      </c>
      <c r="H955" s="1">
        <v>41.16</v>
      </c>
      <c r="I955" s="5">
        <v>46007</v>
      </c>
      <c r="J955" t="s">
        <v>46</v>
      </c>
      <c r="K955" t="s">
        <v>24</v>
      </c>
      <c r="L955" t="s">
        <v>25</v>
      </c>
      <c r="M955" s="1">
        <f>(orders[[#This Row],[Revenue]]-orders[[#This Row],[Cost]])</f>
        <v>46.240000000000009</v>
      </c>
      <c r="N955" s="8">
        <f>IFERROR(orders[[#This Row],[profit]]/orders[[#This Row],[Revenue]],0)</f>
        <v>0.52906178489702527</v>
      </c>
      <c r="O955">
        <f>IF(orders[[#This Row],[Delivery Date]]="","",(orders[[#This Row],[Delivery Date]]-orders[[#This Row],[Date]]))</f>
        <v>2</v>
      </c>
      <c r="P955" t="str">
        <f>IF(orders[[#This Row],[delivery days]]="","Not Delivered",IF(orders[[#This Row],[delivery days]]&lt;=2,"Fast",IF(orders[[#This Row],[delivery days]]&lt;=5,"Normal","Delayed")))</f>
        <v>Fast</v>
      </c>
    </row>
    <row r="956" spans="1:16" x14ac:dyDescent="0.25">
      <c r="A956" t="s">
        <v>1092</v>
      </c>
      <c r="B956" s="5">
        <v>46006</v>
      </c>
      <c r="C956" t="s">
        <v>116</v>
      </c>
      <c r="D956" t="s">
        <v>97</v>
      </c>
      <c r="E956" t="s">
        <v>39</v>
      </c>
      <c r="F956">
        <v>2</v>
      </c>
      <c r="G956" s="1">
        <v>803.4</v>
      </c>
      <c r="H956" s="1">
        <v>520</v>
      </c>
      <c r="I956" s="5">
        <v>46007</v>
      </c>
      <c r="J956" t="s">
        <v>30</v>
      </c>
      <c r="K956" t="s">
        <v>17</v>
      </c>
      <c r="L956" t="s">
        <v>25</v>
      </c>
      <c r="M956" s="1">
        <f>(orders[[#This Row],[Revenue]]-orders[[#This Row],[Cost]])</f>
        <v>283.39999999999998</v>
      </c>
      <c r="N956" s="8">
        <f>IFERROR(orders[[#This Row],[profit]]/orders[[#This Row],[Revenue]],0)</f>
        <v>0.35275080906148865</v>
      </c>
      <c r="O956">
        <f>IF(orders[[#This Row],[Delivery Date]]="","",(orders[[#This Row],[Delivery Date]]-orders[[#This Row],[Date]]))</f>
        <v>1</v>
      </c>
      <c r="P956" t="str">
        <f>IF(orders[[#This Row],[delivery days]]="","Not Delivered",IF(orders[[#This Row],[delivery days]]&lt;=2,"Fast",IF(orders[[#This Row],[delivery days]]&lt;=5,"Normal","Delayed")))</f>
        <v>Fast</v>
      </c>
    </row>
    <row r="957" spans="1:16" x14ac:dyDescent="0.25">
      <c r="A957" t="s">
        <v>1093</v>
      </c>
      <c r="B957" s="5">
        <v>46006</v>
      </c>
      <c r="C957" t="s">
        <v>278</v>
      </c>
      <c r="D957" t="s">
        <v>100</v>
      </c>
      <c r="E957" t="s">
        <v>34</v>
      </c>
      <c r="F957">
        <v>1</v>
      </c>
      <c r="G957" s="1">
        <v>53.56</v>
      </c>
      <c r="H957" s="1">
        <v>23</v>
      </c>
      <c r="I957" s="5">
        <v>46011</v>
      </c>
      <c r="J957" t="s">
        <v>101</v>
      </c>
      <c r="K957" t="s">
        <v>47</v>
      </c>
      <c r="L957" t="s">
        <v>25</v>
      </c>
      <c r="M957" s="1">
        <f>(orders[[#This Row],[Revenue]]-orders[[#This Row],[Cost]])</f>
        <v>30.560000000000002</v>
      </c>
      <c r="N957" s="8">
        <f>IFERROR(orders[[#This Row],[profit]]/orders[[#This Row],[Revenue]],0)</f>
        <v>0.57057505601194924</v>
      </c>
      <c r="O957">
        <f>IF(orders[[#This Row],[Delivery Date]]="","",(orders[[#This Row],[Delivery Date]]-orders[[#This Row],[Date]]))</f>
        <v>5</v>
      </c>
      <c r="P957" t="str">
        <f>IF(orders[[#This Row],[delivery days]]="","Not Delivered",IF(orders[[#This Row],[delivery days]]&lt;=2,"Fast",IF(orders[[#This Row],[delivery days]]&lt;=5,"Normal","Delayed")))</f>
        <v>Normal</v>
      </c>
    </row>
    <row r="958" spans="1:16" x14ac:dyDescent="0.25">
      <c r="A958" t="s">
        <v>1094</v>
      </c>
      <c r="B958" s="5">
        <v>46006</v>
      </c>
      <c r="C958" t="s">
        <v>487</v>
      </c>
      <c r="D958" t="s">
        <v>300</v>
      </c>
      <c r="E958" t="s">
        <v>77</v>
      </c>
      <c r="F958">
        <v>1</v>
      </c>
      <c r="G958" s="1">
        <v>390</v>
      </c>
      <c r="H958" s="1">
        <v>245</v>
      </c>
      <c r="I958" s="5">
        <v>46007</v>
      </c>
      <c r="J958" t="s">
        <v>46</v>
      </c>
      <c r="K958" t="s">
        <v>47</v>
      </c>
      <c r="L958" t="s">
        <v>25</v>
      </c>
      <c r="M958" s="1">
        <f>(orders[[#This Row],[Revenue]]-orders[[#This Row],[Cost]])</f>
        <v>145</v>
      </c>
      <c r="N958" s="8">
        <f>IFERROR(orders[[#This Row],[profit]]/orders[[#This Row],[Revenue]],0)</f>
        <v>0.37179487179487181</v>
      </c>
      <c r="O958">
        <f>IF(orders[[#This Row],[Delivery Date]]="","",(orders[[#This Row],[Delivery Date]]-orders[[#This Row],[Date]]))</f>
        <v>1</v>
      </c>
      <c r="P958" t="str">
        <f>IF(orders[[#This Row],[delivery days]]="","Not Delivered",IF(orders[[#This Row],[delivery days]]&lt;=2,"Fast",IF(orders[[#This Row],[delivery days]]&lt;=5,"Normal","Delayed")))</f>
        <v>Fast</v>
      </c>
    </row>
    <row r="959" spans="1:16" x14ac:dyDescent="0.25">
      <c r="A959" t="s">
        <v>1095</v>
      </c>
      <c r="B959" s="5">
        <v>46006</v>
      </c>
      <c r="C959" t="s">
        <v>149</v>
      </c>
      <c r="D959" t="s">
        <v>119</v>
      </c>
      <c r="E959" t="s">
        <v>39</v>
      </c>
      <c r="F959">
        <v>3</v>
      </c>
      <c r="G959" s="1">
        <v>165</v>
      </c>
      <c r="H959" s="1">
        <v>82.32</v>
      </c>
      <c r="I959" s="5">
        <v>46008</v>
      </c>
      <c r="J959" t="s">
        <v>30</v>
      </c>
      <c r="K959" t="s">
        <v>17</v>
      </c>
      <c r="L959" t="s">
        <v>25</v>
      </c>
      <c r="M959" s="1">
        <f>(orders[[#This Row],[Revenue]]-orders[[#This Row],[Cost]])</f>
        <v>82.68</v>
      </c>
      <c r="N959" s="8">
        <f>IFERROR(orders[[#This Row],[profit]]/orders[[#This Row],[Revenue]],0)</f>
        <v>0.50109090909090914</v>
      </c>
      <c r="O959">
        <f>IF(orders[[#This Row],[Delivery Date]]="","",(orders[[#This Row],[Delivery Date]]-orders[[#This Row],[Date]]))</f>
        <v>2</v>
      </c>
      <c r="P959" t="str">
        <f>IF(orders[[#This Row],[delivery days]]="","Not Delivered",IF(orders[[#This Row],[delivery days]]&lt;=2,"Fast",IF(orders[[#This Row],[delivery days]]&lt;=5,"Normal","Delayed")))</f>
        <v>Fast</v>
      </c>
    </row>
    <row r="960" spans="1:16" x14ac:dyDescent="0.25">
      <c r="A960" t="s">
        <v>1096</v>
      </c>
      <c r="B960" s="5">
        <v>46006</v>
      </c>
      <c r="C960" t="s">
        <v>67</v>
      </c>
      <c r="D960" t="s">
        <v>65</v>
      </c>
      <c r="E960" t="s">
        <v>62</v>
      </c>
      <c r="F960">
        <v>1</v>
      </c>
      <c r="G960" s="1">
        <v>48</v>
      </c>
      <c r="H960" s="1">
        <v>21</v>
      </c>
      <c r="I960" s="5">
        <v>46007</v>
      </c>
      <c r="J960" t="s">
        <v>46</v>
      </c>
      <c r="K960" t="s">
        <v>47</v>
      </c>
      <c r="L960" t="s">
        <v>25</v>
      </c>
      <c r="M960" s="1">
        <f>(orders[[#This Row],[Revenue]]-orders[[#This Row],[Cost]])</f>
        <v>27</v>
      </c>
      <c r="N960" s="8">
        <f>IFERROR(orders[[#This Row],[profit]]/orders[[#This Row],[Revenue]],0)</f>
        <v>0.5625</v>
      </c>
      <c r="O960">
        <f>IF(orders[[#This Row],[Delivery Date]]="","",(orders[[#This Row],[Delivery Date]]-orders[[#This Row],[Date]]))</f>
        <v>1</v>
      </c>
      <c r="P960" t="str">
        <f>IF(orders[[#This Row],[delivery days]]="","Not Delivered",IF(orders[[#This Row],[delivery days]]&lt;=2,"Fast",IF(orders[[#This Row],[delivery days]]&lt;=5,"Normal","Delayed")))</f>
        <v>Fast</v>
      </c>
    </row>
    <row r="961" spans="1:16" x14ac:dyDescent="0.25">
      <c r="A961" t="s">
        <v>1097</v>
      </c>
      <c r="B961" s="5">
        <v>46007</v>
      </c>
      <c r="C961" t="s">
        <v>204</v>
      </c>
      <c r="D961" t="s">
        <v>129</v>
      </c>
      <c r="E961" t="s">
        <v>39</v>
      </c>
      <c r="F961">
        <v>2</v>
      </c>
      <c r="G961" s="1">
        <v>240</v>
      </c>
      <c r="H961" s="1">
        <v>136</v>
      </c>
      <c r="I961" s="5">
        <v>46011</v>
      </c>
      <c r="J961" t="s">
        <v>23</v>
      </c>
      <c r="K961" t="s">
        <v>17</v>
      </c>
      <c r="L961" t="s">
        <v>25</v>
      </c>
      <c r="M961" s="1">
        <f>(orders[[#This Row],[Revenue]]-orders[[#This Row],[Cost]])</f>
        <v>104</v>
      </c>
      <c r="N961" s="8">
        <f>IFERROR(orders[[#This Row],[profit]]/orders[[#This Row],[Revenue]],0)</f>
        <v>0.43333333333333335</v>
      </c>
      <c r="O961">
        <f>IF(orders[[#This Row],[Delivery Date]]="","",(orders[[#This Row],[Delivery Date]]-orders[[#This Row],[Date]]))</f>
        <v>4</v>
      </c>
      <c r="P961" t="str">
        <f>IF(orders[[#This Row],[delivery days]]="","Not Delivered",IF(orders[[#This Row],[delivery days]]&lt;=2,"Fast",IF(orders[[#This Row],[delivery days]]&lt;=5,"Normal","Delayed")))</f>
        <v>Normal</v>
      </c>
    </row>
    <row r="962" spans="1:16" x14ac:dyDescent="0.25">
      <c r="A962" t="s">
        <v>1098</v>
      </c>
      <c r="B962" s="5">
        <v>46007</v>
      </c>
      <c r="C962" t="s">
        <v>90</v>
      </c>
      <c r="D962" t="s">
        <v>83</v>
      </c>
      <c r="E962" t="s">
        <v>15</v>
      </c>
      <c r="F962">
        <v>3</v>
      </c>
      <c r="G962" s="1">
        <v>225</v>
      </c>
      <c r="H962" s="1">
        <v>117</v>
      </c>
      <c r="I962" s="5">
        <v>46010</v>
      </c>
      <c r="J962" t="s">
        <v>30</v>
      </c>
      <c r="K962" t="s">
        <v>17</v>
      </c>
      <c r="L962" t="s">
        <v>25</v>
      </c>
      <c r="M962" s="1">
        <f>(orders[[#This Row],[Revenue]]-orders[[#This Row],[Cost]])</f>
        <v>108</v>
      </c>
      <c r="N962" s="8">
        <f>IFERROR(orders[[#This Row],[profit]]/orders[[#This Row],[Revenue]],0)</f>
        <v>0.48</v>
      </c>
      <c r="O962">
        <f>IF(orders[[#This Row],[Delivery Date]]="","",(orders[[#This Row],[Delivery Date]]-orders[[#This Row],[Date]]))</f>
        <v>3</v>
      </c>
      <c r="P962" t="str">
        <f>IF(orders[[#This Row],[delivery days]]="","Not Delivered",IF(orders[[#This Row],[delivery days]]&lt;=2,"Fast",IF(orders[[#This Row],[delivery days]]&lt;=5,"Normal","Delayed")))</f>
        <v>Normal</v>
      </c>
    </row>
    <row r="963" spans="1:16" x14ac:dyDescent="0.25">
      <c r="A963" t="s">
        <v>1099</v>
      </c>
      <c r="B963" s="5">
        <v>46007</v>
      </c>
      <c r="C963" t="s">
        <v>64</v>
      </c>
      <c r="D963" t="s">
        <v>97</v>
      </c>
      <c r="E963" t="s">
        <v>39</v>
      </c>
      <c r="F963">
        <v>1</v>
      </c>
      <c r="G963" s="1">
        <v>358.8</v>
      </c>
      <c r="H963" s="1">
        <v>260</v>
      </c>
      <c r="I963" s="5">
        <v>46010</v>
      </c>
      <c r="J963" t="s">
        <v>16</v>
      </c>
      <c r="K963" t="s">
        <v>35</v>
      </c>
      <c r="L963" t="s">
        <v>25</v>
      </c>
      <c r="M963" s="1">
        <f>(orders[[#This Row],[Revenue]]-orders[[#This Row],[Cost]])</f>
        <v>98.800000000000011</v>
      </c>
      <c r="N963" s="8">
        <f>IFERROR(orders[[#This Row],[profit]]/orders[[#This Row],[Revenue]],0)</f>
        <v>0.27536231884057971</v>
      </c>
      <c r="O963">
        <f>IF(orders[[#This Row],[Delivery Date]]="","",(orders[[#This Row],[Delivery Date]]-orders[[#This Row],[Date]]))</f>
        <v>3</v>
      </c>
      <c r="P963" t="str">
        <f>IF(orders[[#This Row],[delivery days]]="","Not Delivered",IF(orders[[#This Row],[delivery days]]&lt;=2,"Fast",IF(orders[[#This Row],[delivery days]]&lt;=5,"Normal","Delayed")))</f>
        <v>Normal</v>
      </c>
    </row>
    <row r="964" spans="1:16" x14ac:dyDescent="0.25">
      <c r="A964" t="s">
        <v>1100</v>
      </c>
      <c r="B964" s="5">
        <v>46007</v>
      </c>
      <c r="C964" t="s">
        <v>112</v>
      </c>
      <c r="D964" t="s">
        <v>14</v>
      </c>
      <c r="E964" t="s">
        <v>15</v>
      </c>
      <c r="F964">
        <v>1</v>
      </c>
      <c r="G964" s="1">
        <v>25.75</v>
      </c>
      <c r="H964" s="1">
        <v>9</v>
      </c>
      <c r="I964" s="5">
        <v>46011</v>
      </c>
      <c r="J964" t="s">
        <v>52</v>
      </c>
      <c r="K964" t="s">
        <v>47</v>
      </c>
      <c r="L964" t="s">
        <v>25</v>
      </c>
      <c r="M964" s="1">
        <f>(orders[[#This Row],[Revenue]]-orders[[#This Row],[Cost]])</f>
        <v>16.75</v>
      </c>
      <c r="N964" s="8">
        <f>IFERROR(orders[[#This Row],[profit]]/orders[[#This Row],[Revenue]],0)</f>
        <v>0.65048543689320393</v>
      </c>
      <c r="O964">
        <f>IF(orders[[#This Row],[Delivery Date]]="","",(orders[[#This Row],[Delivery Date]]-orders[[#This Row],[Date]]))</f>
        <v>4</v>
      </c>
      <c r="P964" t="str">
        <f>IF(orders[[#This Row],[delivery days]]="","Not Delivered",IF(orders[[#This Row],[delivery days]]&lt;=2,"Fast",IF(orders[[#This Row],[delivery days]]&lt;=5,"Normal","Delayed")))</f>
        <v>Normal</v>
      </c>
    </row>
    <row r="965" spans="1:16" x14ac:dyDescent="0.25">
      <c r="A965" t="s">
        <v>1101</v>
      </c>
      <c r="B965" s="5">
        <v>46008</v>
      </c>
      <c r="C965" t="s">
        <v>204</v>
      </c>
      <c r="D965" t="s">
        <v>65</v>
      </c>
      <c r="E965" t="s">
        <v>62</v>
      </c>
      <c r="F965">
        <v>1</v>
      </c>
      <c r="G965" s="1">
        <v>48</v>
      </c>
      <c r="H965" s="1">
        <v>21</v>
      </c>
      <c r="I965" s="5"/>
      <c r="J965" t="s">
        <v>23</v>
      </c>
      <c r="K965" t="s">
        <v>24</v>
      </c>
      <c r="L965" t="s">
        <v>103</v>
      </c>
      <c r="M965" s="1">
        <f>(orders[[#This Row],[Revenue]]-orders[[#This Row],[Cost]])</f>
        <v>27</v>
      </c>
      <c r="N965" s="8">
        <f>IFERROR(orders[[#This Row],[profit]]/orders[[#This Row],[Revenue]],0)</f>
        <v>0.5625</v>
      </c>
      <c r="O965" t="str">
        <f>IF(orders[[#This Row],[Delivery Date]]="","",(orders[[#This Row],[Delivery Date]]-orders[[#This Row],[Date]]))</f>
        <v/>
      </c>
      <c r="P965" t="str">
        <f>IF(orders[[#This Row],[delivery days]]="","Not Delivered",IF(orders[[#This Row],[delivery days]]&lt;=2,"Fast",IF(orders[[#This Row],[delivery days]]&lt;=5,"Normal","Delayed")))</f>
        <v>Not Delivered</v>
      </c>
    </row>
    <row r="966" spans="1:16" x14ac:dyDescent="0.25">
      <c r="A966" t="s">
        <v>1102</v>
      </c>
      <c r="B966" s="5">
        <v>46008</v>
      </c>
      <c r="C966" t="s">
        <v>139</v>
      </c>
      <c r="D966" t="s">
        <v>150</v>
      </c>
      <c r="E966" t="s">
        <v>77</v>
      </c>
      <c r="F966">
        <v>2</v>
      </c>
      <c r="G966" s="1">
        <v>156.4</v>
      </c>
      <c r="H966" s="1">
        <v>86.24</v>
      </c>
      <c r="I966" s="5">
        <v>46013</v>
      </c>
      <c r="J966" t="s">
        <v>52</v>
      </c>
      <c r="K966" t="s">
        <v>47</v>
      </c>
      <c r="L966" t="s">
        <v>25</v>
      </c>
      <c r="M966" s="1">
        <f>(orders[[#This Row],[Revenue]]-orders[[#This Row],[Cost]])</f>
        <v>70.160000000000011</v>
      </c>
      <c r="N966" s="8">
        <f>IFERROR(orders[[#This Row],[profit]]/orders[[#This Row],[Revenue]],0)</f>
        <v>0.44859335038363174</v>
      </c>
      <c r="O966">
        <f>IF(orders[[#This Row],[Delivery Date]]="","",(orders[[#This Row],[Delivery Date]]-orders[[#This Row],[Date]]))</f>
        <v>5</v>
      </c>
      <c r="P966" t="str">
        <f>IF(orders[[#This Row],[delivery days]]="","Not Delivered",IF(orders[[#This Row],[delivery days]]&lt;=2,"Fast",IF(orders[[#This Row],[delivery days]]&lt;=5,"Normal","Delayed")))</f>
        <v>Normal</v>
      </c>
    </row>
    <row r="967" spans="1:16" x14ac:dyDescent="0.25">
      <c r="A967" t="s">
        <v>1103</v>
      </c>
      <c r="B967" s="5">
        <v>46009</v>
      </c>
      <c r="C967" t="s">
        <v>121</v>
      </c>
      <c r="D967" t="s">
        <v>65</v>
      </c>
      <c r="E967" t="s">
        <v>62</v>
      </c>
      <c r="F967">
        <v>2</v>
      </c>
      <c r="G967" s="1">
        <v>96</v>
      </c>
      <c r="H967" s="1">
        <v>42</v>
      </c>
      <c r="I967" s="5"/>
      <c r="J967" t="s">
        <v>16</v>
      </c>
      <c r="K967" t="s">
        <v>35</v>
      </c>
      <c r="L967" t="s">
        <v>42</v>
      </c>
      <c r="M967" s="1">
        <f>(orders[[#This Row],[Revenue]]-orders[[#This Row],[Cost]])</f>
        <v>54</v>
      </c>
      <c r="N967" s="8">
        <f>IFERROR(orders[[#This Row],[profit]]/orders[[#This Row],[Revenue]],0)</f>
        <v>0.5625</v>
      </c>
      <c r="O967" t="str">
        <f>IF(orders[[#This Row],[Delivery Date]]="","",(orders[[#This Row],[Delivery Date]]-orders[[#This Row],[Date]]))</f>
        <v/>
      </c>
      <c r="P967" t="str">
        <f>IF(orders[[#This Row],[delivery days]]="","Not Delivered",IF(orders[[#This Row],[delivery days]]&lt;=2,"Fast",IF(orders[[#This Row],[delivery days]]&lt;=5,"Normal","Delayed")))</f>
        <v>Not Delivered</v>
      </c>
    </row>
    <row r="968" spans="1:16" x14ac:dyDescent="0.25">
      <c r="A968" t="s">
        <v>1104</v>
      </c>
      <c r="B968" s="5">
        <v>46009</v>
      </c>
      <c r="C968" t="s">
        <v>316</v>
      </c>
      <c r="D968" t="s">
        <v>129</v>
      </c>
      <c r="E968" t="s">
        <v>39</v>
      </c>
      <c r="F968">
        <v>1</v>
      </c>
      <c r="G968" s="1">
        <v>123.6</v>
      </c>
      <c r="H968" s="1">
        <v>69.36</v>
      </c>
      <c r="I968" s="5"/>
      <c r="J968" t="s">
        <v>46</v>
      </c>
      <c r="K968" t="s">
        <v>24</v>
      </c>
      <c r="L968" t="s">
        <v>103</v>
      </c>
      <c r="M968" s="1">
        <f>(orders[[#This Row],[Revenue]]-orders[[#This Row],[Cost]])</f>
        <v>54.239999999999995</v>
      </c>
      <c r="N968" s="8">
        <f>IFERROR(orders[[#This Row],[profit]]/orders[[#This Row],[Revenue]],0)</f>
        <v>0.43883495145631068</v>
      </c>
      <c r="O968" t="str">
        <f>IF(orders[[#This Row],[Delivery Date]]="","",(orders[[#This Row],[Delivery Date]]-orders[[#This Row],[Date]]))</f>
        <v/>
      </c>
      <c r="P968" t="str">
        <f>IF(orders[[#This Row],[delivery days]]="","Not Delivered",IF(orders[[#This Row],[delivery days]]&lt;=2,"Fast",IF(orders[[#This Row],[delivery days]]&lt;=5,"Normal","Delayed")))</f>
        <v>Not Delivered</v>
      </c>
    </row>
    <row r="969" spans="1:16" x14ac:dyDescent="0.25">
      <c r="A969" t="s">
        <v>1105</v>
      </c>
      <c r="B969" s="5">
        <v>46010</v>
      </c>
      <c r="C969" t="s">
        <v>90</v>
      </c>
      <c r="D969" t="s">
        <v>83</v>
      </c>
      <c r="E969" t="s">
        <v>15</v>
      </c>
      <c r="F969">
        <v>1</v>
      </c>
      <c r="G969" s="1">
        <v>75</v>
      </c>
      <c r="H969" s="1">
        <v>38.22</v>
      </c>
      <c r="I969" s="5">
        <v>46011</v>
      </c>
      <c r="J969" t="s">
        <v>16</v>
      </c>
      <c r="K969" t="s">
        <v>35</v>
      </c>
      <c r="L969" t="s">
        <v>25</v>
      </c>
      <c r="M969" s="1">
        <f>(orders[[#This Row],[Revenue]]-orders[[#This Row],[Cost]])</f>
        <v>36.78</v>
      </c>
      <c r="N969" s="8">
        <f>IFERROR(orders[[#This Row],[profit]]/orders[[#This Row],[Revenue]],0)</f>
        <v>0.4904</v>
      </c>
      <c r="O969">
        <f>IF(orders[[#This Row],[Delivery Date]]="","",(orders[[#This Row],[Delivery Date]]-orders[[#This Row],[Date]]))</f>
        <v>1</v>
      </c>
      <c r="P969" t="str">
        <f>IF(orders[[#This Row],[delivery days]]="","Not Delivered",IF(orders[[#This Row],[delivery days]]&lt;=2,"Fast",IF(orders[[#This Row],[delivery days]]&lt;=5,"Normal","Delayed")))</f>
        <v>Fast</v>
      </c>
    </row>
    <row r="970" spans="1:16" x14ac:dyDescent="0.25">
      <c r="A970" t="s">
        <v>1106</v>
      </c>
      <c r="B970" s="5">
        <v>46010</v>
      </c>
      <c r="C970" t="s">
        <v>90</v>
      </c>
      <c r="D970" t="s">
        <v>129</v>
      </c>
      <c r="E970" t="s">
        <v>39</v>
      </c>
      <c r="F970">
        <v>3</v>
      </c>
      <c r="G970" s="1">
        <v>360</v>
      </c>
      <c r="H970" s="1">
        <v>204</v>
      </c>
      <c r="I970" s="5">
        <v>46012</v>
      </c>
      <c r="J970" t="s">
        <v>30</v>
      </c>
      <c r="K970" t="s">
        <v>35</v>
      </c>
      <c r="L970" t="s">
        <v>25</v>
      </c>
      <c r="M970" s="1">
        <f>(orders[[#This Row],[Revenue]]-orders[[#This Row],[Cost]])</f>
        <v>156</v>
      </c>
      <c r="N970" s="8">
        <f>IFERROR(orders[[#This Row],[profit]]/orders[[#This Row],[Revenue]],0)</f>
        <v>0.43333333333333335</v>
      </c>
      <c r="O970">
        <f>IF(orders[[#This Row],[Delivery Date]]="","",(orders[[#This Row],[Delivery Date]]-orders[[#This Row],[Date]]))</f>
        <v>2</v>
      </c>
      <c r="P970" t="str">
        <f>IF(orders[[#This Row],[delivery days]]="","Not Delivered",IF(orders[[#This Row],[delivery days]]&lt;=2,"Fast",IF(orders[[#This Row],[delivery days]]&lt;=5,"Normal","Delayed")))</f>
        <v>Fast</v>
      </c>
    </row>
    <row r="971" spans="1:16" x14ac:dyDescent="0.25">
      <c r="A971" t="s">
        <v>1107</v>
      </c>
      <c r="B971" s="5">
        <v>46011</v>
      </c>
      <c r="C971" t="s">
        <v>32</v>
      </c>
      <c r="D971" t="s">
        <v>108</v>
      </c>
      <c r="E971" t="s">
        <v>22</v>
      </c>
      <c r="F971">
        <v>2</v>
      </c>
      <c r="G971" s="1">
        <v>190</v>
      </c>
      <c r="H971" s="1">
        <v>84</v>
      </c>
      <c r="I971" s="5">
        <v>46012</v>
      </c>
      <c r="J971" t="s">
        <v>23</v>
      </c>
      <c r="K971" t="s">
        <v>24</v>
      </c>
      <c r="L971" t="s">
        <v>25</v>
      </c>
      <c r="M971" s="1">
        <f>(orders[[#This Row],[Revenue]]-orders[[#This Row],[Cost]])</f>
        <v>106</v>
      </c>
      <c r="N971" s="8">
        <f>IFERROR(orders[[#This Row],[profit]]/orders[[#This Row],[Revenue]],0)</f>
        <v>0.55789473684210522</v>
      </c>
      <c r="O971">
        <f>IF(orders[[#This Row],[Delivery Date]]="","",(orders[[#This Row],[Delivery Date]]-orders[[#This Row],[Date]]))</f>
        <v>1</v>
      </c>
      <c r="P971" t="str">
        <f>IF(orders[[#This Row],[delivery days]]="","Not Delivered",IF(orders[[#This Row],[delivery days]]&lt;=2,"Fast",IF(orders[[#This Row],[delivery days]]&lt;=5,"Normal","Delayed")))</f>
        <v>Fast</v>
      </c>
    </row>
    <row r="972" spans="1:16" x14ac:dyDescent="0.25">
      <c r="A972" t="s">
        <v>1108</v>
      </c>
      <c r="B972" s="5">
        <v>46011</v>
      </c>
      <c r="C972" t="s">
        <v>139</v>
      </c>
      <c r="D972" t="s">
        <v>110</v>
      </c>
      <c r="E972" t="s">
        <v>39</v>
      </c>
      <c r="F972">
        <v>2</v>
      </c>
      <c r="G972" s="1">
        <v>386.4</v>
      </c>
      <c r="H972" s="1">
        <v>255</v>
      </c>
      <c r="I972" s="5">
        <v>46015</v>
      </c>
      <c r="J972" t="s">
        <v>23</v>
      </c>
      <c r="K972" t="s">
        <v>17</v>
      </c>
      <c r="L972" t="s">
        <v>25</v>
      </c>
      <c r="M972" s="1">
        <f>(orders[[#This Row],[Revenue]]-orders[[#This Row],[Cost]])</f>
        <v>131.39999999999998</v>
      </c>
      <c r="N972" s="8">
        <f>IFERROR(orders[[#This Row],[profit]]/orders[[#This Row],[Revenue]],0)</f>
        <v>0.34006211180124218</v>
      </c>
      <c r="O972">
        <f>IF(orders[[#This Row],[Delivery Date]]="","",(orders[[#This Row],[Delivery Date]]-orders[[#This Row],[Date]]))</f>
        <v>4</v>
      </c>
      <c r="P972" t="str">
        <f>IF(orders[[#This Row],[delivery days]]="","Not Delivered",IF(orders[[#This Row],[delivery days]]&lt;=2,"Fast",IF(orders[[#This Row],[delivery days]]&lt;=5,"Normal","Delayed")))</f>
        <v>Normal</v>
      </c>
    </row>
    <row r="973" spans="1:16" x14ac:dyDescent="0.25">
      <c r="A973" t="s">
        <v>1109</v>
      </c>
      <c r="B973" s="5">
        <v>46012</v>
      </c>
      <c r="C973" t="s">
        <v>217</v>
      </c>
      <c r="D973" t="s">
        <v>208</v>
      </c>
      <c r="E973" t="s">
        <v>15</v>
      </c>
      <c r="F973">
        <v>1</v>
      </c>
      <c r="G973" s="1">
        <v>130</v>
      </c>
      <c r="H973" s="1">
        <v>76</v>
      </c>
      <c r="I973" s="5">
        <v>46014</v>
      </c>
      <c r="J973" t="s">
        <v>101</v>
      </c>
      <c r="K973" t="s">
        <v>35</v>
      </c>
      <c r="L973" t="s">
        <v>25</v>
      </c>
      <c r="M973" s="1">
        <f>(orders[[#This Row],[Revenue]]-orders[[#This Row],[Cost]])</f>
        <v>54</v>
      </c>
      <c r="N973" s="8">
        <f>IFERROR(orders[[#This Row],[profit]]/orders[[#This Row],[Revenue]],0)</f>
        <v>0.41538461538461541</v>
      </c>
      <c r="O973">
        <f>IF(orders[[#This Row],[Delivery Date]]="","",(orders[[#This Row],[Delivery Date]]-orders[[#This Row],[Date]]))</f>
        <v>2</v>
      </c>
      <c r="P973" t="str">
        <f>IF(orders[[#This Row],[delivery days]]="","Not Delivered",IF(orders[[#This Row],[delivery days]]&lt;=2,"Fast",IF(orders[[#This Row],[delivery days]]&lt;=5,"Normal","Delayed")))</f>
        <v>Fast</v>
      </c>
    </row>
    <row r="974" spans="1:16" x14ac:dyDescent="0.25">
      <c r="A974" t="s">
        <v>1110</v>
      </c>
      <c r="B974" s="5">
        <v>46012</v>
      </c>
      <c r="C974" t="s">
        <v>191</v>
      </c>
      <c r="D974" t="s">
        <v>86</v>
      </c>
      <c r="E974" t="s">
        <v>29</v>
      </c>
      <c r="F974">
        <v>1</v>
      </c>
      <c r="G974" s="1">
        <v>26.68</v>
      </c>
      <c r="H974" s="1">
        <v>12</v>
      </c>
      <c r="I974" s="5">
        <v>46013</v>
      </c>
      <c r="J974" t="s">
        <v>46</v>
      </c>
      <c r="K974" t="s">
        <v>47</v>
      </c>
      <c r="L974" t="s">
        <v>25</v>
      </c>
      <c r="M974" s="1">
        <f>(orders[[#This Row],[Revenue]]-orders[[#This Row],[Cost]])</f>
        <v>14.68</v>
      </c>
      <c r="N974" s="8">
        <f>IFERROR(orders[[#This Row],[profit]]/orders[[#This Row],[Revenue]],0)</f>
        <v>0.5502248875562219</v>
      </c>
      <c r="O974">
        <f>IF(orders[[#This Row],[Delivery Date]]="","",(orders[[#This Row],[Delivery Date]]-orders[[#This Row],[Date]]))</f>
        <v>1</v>
      </c>
      <c r="P974" t="str">
        <f>IF(orders[[#This Row],[delivery days]]="","Not Delivered",IF(orders[[#This Row],[delivery days]]&lt;=2,"Fast",IF(orders[[#This Row],[delivery days]]&lt;=5,"Normal","Delayed")))</f>
        <v>Fast</v>
      </c>
    </row>
    <row r="975" spans="1:16" x14ac:dyDescent="0.25">
      <c r="A975" t="s">
        <v>1111</v>
      </c>
      <c r="B975" s="5">
        <v>46012</v>
      </c>
      <c r="C975" t="s">
        <v>13</v>
      </c>
      <c r="D975" t="s">
        <v>289</v>
      </c>
      <c r="E975" t="s">
        <v>22</v>
      </c>
      <c r="F975">
        <v>2</v>
      </c>
      <c r="G975" s="1">
        <v>124</v>
      </c>
      <c r="H975" s="1">
        <v>58</v>
      </c>
      <c r="I975" s="5">
        <v>46014</v>
      </c>
      <c r="J975" t="s">
        <v>30</v>
      </c>
      <c r="K975" t="s">
        <v>17</v>
      </c>
      <c r="L975" t="s">
        <v>25</v>
      </c>
      <c r="M975" s="1">
        <f>(orders[[#This Row],[Revenue]]-orders[[#This Row],[Cost]])</f>
        <v>66</v>
      </c>
      <c r="N975" s="8">
        <f>IFERROR(orders[[#This Row],[profit]]/orders[[#This Row],[Revenue]],0)</f>
        <v>0.532258064516129</v>
      </c>
      <c r="O975">
        <f>IF(orders[[#This Row],[Delivery Date]]="","",(orders[[#This Row],[Delivery Date]]-orders[[#This Row],[Date]]))</f>
        <v>2</v>
      </c>
      <c r="P975" t="str">
        <f>IF(orders[[#This Row],[delivery days]]="","Not Delivered",IF(orders[[#This Row],[delivery days]]&lt;=2,"Fast",IF(orders[[#This Row],[delivery days]]&lt;=5,"Normal","Delayed")))</f>
        <v>Fast</v>
      </c>
    </row>
    <row r="976" spans="1:16" x14ac:dyDescent="0.25">
      <c r="A976" t="s">
        <v>1112</v>
      </c>
      <c r="B976" s="5">
        <v>46012</v>
      </c>
      <c r="C976" t="s">
        <v>69</v>
      </c>
      <c r="D976" t="s">
        <v>146</v>
      </c>
      <c r="E976" t="s">
        <v>22</v>
      </c>
      <c r="F976">
        <v>2</v>
      </c>
      <c r="G976" s="1">
        <v>170.72</v>
      </c>
      <c r="H976" s="1">
        <v>90</v>
      </c>
      <c r="I976" s="5">
        <v>46013</v>
      </c>
      <c r="J976" t="s">
        <v>23</v>
      </c>
      <c r="K976" t="s">
        <v>17</v>
      </c>
      <c r="L976" t="s">
        <v>25</v>
      </c>
      <c r="M976" s="1">
        <f>(orders[[#This Row],[Revenue]]-orders[[#This Row],[Cost]])</f>
        <v>80.72</v>
      </c>
      <c r="N976" s="8">
        <f>IFERROR(orders[[#This Row],[profit]]/orders[[#This Row],[Revenue]],0)</f>
        <v>0.47282099343955014</v>
      </c>
      <c r="O976">
        <f>IF(orders[[#This Row],[Delivery Date]]="","",(orders[[#This Row],[Delivery Date]]-orders[[#This Row],[Date]]))</f>
        <v>1</v>
      </c>
      <c r="P976" t="str">
        <f>IF(orders[[#This Row],[delivery days]]="","Not Delivered",IF(orders[[#This Row],[delivery days]]&lt;=2,"Fast",IF(orders[[#This Row],[delivery days]]&lt;=5,"Normal","Delayed")))</f>
        <v>Fast</v>
      </c>
    </row>
    <row r="977" spans="1:16" x14ac:dyDescent="0.25">
      <c r="A977" t="s">
        <v>1113</v>
      </c>
      <c r="B977" s="5">
        <v>46013</v>
      </c>
      <c r="C977" t="s">
        <v>116</v>
      </c>
      <c r="D977" t="s">
        <v>179</v>
      </c>
      <c r="E977" t="s">
        <v>34</v>
      </c>
      <c r="F977">
        <v>1</v>
      </c>
      <c r="G977" s="1">
        <v>45</v>
      </c>
      <c r="H977" s="1">
        <v>19</v>
      </c>
      <c r="I977" s="5">
        <v>46015</v>
      </c>
      <c r="J977" t="s">
        <v>16</v>
      </c>
      <c r="K977" t="s">
        <v>35</v>
      </c>
      <c r="L977" t="s">
        <v>25</v>
      </c>
      <c r="M977" s="1">
        <f>(orders[[#This Row],[Revenue]]-orders[[#This Row],[Cost]])</f>
        <v>26</v>
      </c>
      <c r="N977" s="8">
        <f>IFERROR(orders[[#This Row],[profit]]/orders[[#This Row],[Revenue]],0)</f>
        <v>0.57777777777777772</v>
      </c>
      <c r="O977">
        <f>IF(orders[[#This Row],[Delivery Date]]="","",(orders[[#This Row],[Delivery Date]]-orders[[#This Row],[Date]]))</f>
        <v>2</v>
      </c>
      <c r="P977" t="str">
        <f>IF(orders[[#This Row],[delivery days]]="","Not Delivered",IF(orders[[#This Row],[delivery days]]&lt;=2,"Fast",IF(orders[[#This Row],[delivery days]]&lt;=5,"Normal","Delayed")))</f>
        <v>Fast</v>
      </c>
    </row>
    <row r="978" spans="1:16" x14ac:dyDescent="0.25">
      <c r="A978" t="s">
        <v>1114</v>
      </c>
      <c r="B978" s="5">
        <v>46013</v>
      </c>
      <c r="C978" t="s">
        <v>278</v>
      </c>
      <c r="D978" t="s">
        <v>179</v>
      </c>
      <c r="E978" t="s">
        <v>34</v>
      </c>
      <c r="F978">
        <v>1</v>
      </c>
      <c r="G978" s="1">
        <v>45</v>
      </c>
      <c r="H978" s="1">
        <v>19</v>
      </c>
      <c r="I978" s="5">
        <v>46016</v>
      </c>
      <c r="J978" t="s">
        <v>16</v>
      </c>
      <c r="K978" t="s">
        <v>35</v>
      </c>
      <c r="L978" t="s">
        <v>25</v>
      </c>
      <c r="M978" s="1">
        <f>(orders[[#This Row],[Revenue]]-orders[[#This Row],[Cost]])</f>
        <v>26</v>
      </c>
      <c r="N978" s="8">
        <f>IFERROR(orders[[#This Row],[profit]]/orders[[#This Row],[Revenue]],0)</f>
        <v>0.57777777777777772</v>
      </c>
      <c r="O978">
        <f>IF(orders[[#This Row],[Delivery Date]]="","",(orders[[#This Row],[Delivery Date]]-orders[[#This Row],[Date]]))</f>
        <v>3</v>
      </c>
      <c r="P978" t="str">
        <f>IF(orders[[#This Row],[delivery days]]="","Not Delivered",IF(orders[[#This Row],[delivery days]]&lt;=2,"Fast",IF(orders[[#This Row],[delivery days]]&lt;=5,"Normal","Delayed")))</f>
        <v>Normal</v>
      </c>
    </row>
    <row r="979" spans="1:16" x14ac:dyDescent="0.25">
      <c r="A979" t="s">
        <v>1115</v>
      </c>
      <c r="B979" s="5">
        <v>46014</v>
      </c>
      <c r="C979" t="s">
        <v>54</v>
      </c>
      <c r="D979" t="s">
        <v>187</v>
      </c>
      <c r="E979" t="s">
        <v>15</v>
      </c>
      <c r="F979">
        <v>2</v>
      </c>
      <c r="G979" s="1">
        <v>67.900000000000006</v>
      </c>
      <c r="H979" s="1">
        <v>32.64</v>
      </c>
      <c r="I979" s="5">
        <v>46016</v>
      </c>
      <c r="J979" t="s">
        <v>30</v>
      </c>
      <c r="K979" t="s">
        <v>17</v>
      </c>
      <c r="L979" t="s">
        <v>25</v>
      </c>
      <c r="M979" s="1">
        <f>(orders[[#This Row],[Revenue]]-orders[[#This Row],[Cost]])</f>
        <v>35.260000000000005</v>
      </c>
      <c r="N979" s="8">
        <f>IFERROR(orders[[#This Row],[profit]]/orders[[#This Row],[Revenue]],0)</f>
        <v>0.5192930780559647</v>
      </c>
      <c r="O979">
        <f>IF(orders[[#This Row],[Delivery Date]]="","",(orders[[#This Row],[Delivery Date]]-orders[[#This Row],[Date]]))</f>
        <v>2</v>
      </c>
      <c r="P979" t="str">
        <f>IF(orders[[#This Row],[delivery days]]="","Not Delivered",IF(orders[[#This Row],[delivery days]]&lt;=2,"Fast",IF(orders[[#This Row],[delivery days]]&lt;=5,"Normal","Delayed")))</f>
        <v>Fast</v>
      </c>
    </row>
    <row r="980" spans="1:16" x14ac:dyDescent="0.25">
      <c r="A980" t="s">
        <v>1116</v>
      </c>
      <c r="B980" s="5">
        <v>46014</v>
      </c>
      <c r="C980" t="s">
        <v>88</v>
      </c>
      <c r="D980" t="s">
        <v>61</v>
      </c>
      <c r="E980" t="s">
        <v>62</v>
      </c>
      <c r="F980">
        <v>5</v>
      </c>
      <c r="G980" s="1">
        <v>147.19999999999999</v>
      </c>
      <c r="H980" s="1">
        <v>70</v>
      </c>
      <c r="I980" s="5"/>
      <c r="J980" t="s">
        <v>30</v>
      </c>
      <c r="K980" t="s">
        <v>35</v>
      </c>
      <c r="L980" t="s">
        <v>103</v>
      </c>
      <c r="M980" s="1">
        <f>(orders[[#This Row],[Revenue]]-orders[[#This Row],[Cost]])</f>
        <v>77.199999999999989</v>
      </c>
      <c r="N980" s="8">
        <f>IFERROR(orders[[#This Row],[profit]]/orders[[#This Row],[Revenue]],0)</f>
        <v>0.52445652173913038</v>
      </c>
      <c r="O980" t="str">
        <f>IF(orders[[#This Row],[Delivery Date]]="","",(orders[[#This Row],[Delivery Date]]-orders[[#This Row],[Date]]))</f>
        <v/>
      </c>
      <c r="P980" t="str">
        <f>IF(orders[[#This Row],[delivery days]]="","Not Delivered",IF(orders[[#This Row],[delivery days]]&lt;=2,"Fast",IF(orders[[#This Row],[delivery days]]&lt;=5,"Normal","Delayed")))</f>
        <v>Not Delivered</v>
      </c>
    </row>
    <row r="981" spans="1:16" x14ac:dyDescent="0.25">
      <c r="A981" t="s">
        <v>1117</v>
      </c>
      <c r="B981" s="5">
        <v>46014</v>
      </c>
      <c r="C981" t="s">
        <v>316</v>
      </c>
      <c r="D981" t="s">
        <v>110</v>
      </c>
      <c r="E981" t="s">
        <v>39</v>
      </c>
      <c r="F981">
        <v>4</v>
      </c>
      <c r="G981" s="1">
        <v>840</v>
      </c>
      <c r="H981" s="1">
        <v>490</v>
      </c>
      <c r="I981" s="5">
        <v>46017</v>
      </c>
      <c r="J981" t="s">
        <v>16</v>
      </c>
      <c r="K981" t="s">
        <v>35</v>
      </c>
      <c r="L981" t="s">
        <v>25</v>
      </c>
      <c r="M981" s="1">
        <f>(orders[[#This Row],[Revenue]]-orders[[#This Row],[Cost]])</f>
        <v>350</v>
      </c>
      <c r="N981" s="8">
        <f>IFERROR(orders[[#This Row],[profit]]/orders[[#This Row],[Revenue]],0)</f>
        <v>0.41666666666666669</v>
      </c>
      <c r="O981">
        <f>IF(orders[[#This Row],[Delivery Date]]="","",(orders[[#This Row],[Delivery Date]]-orders[[#This Row],[Date]]))</f>
        <v>3</v>
      </c>
      <c r="P981" t="str">
        <f>IF(orders[[#This Row],[delivery days]]="","Not Delivered",IF(orders[[#This Row],[delivery days]]&lt;=2,"Fast",IF(orders[[#This Row],[delivery days]]&lt;=5,"Normal","Delayed")))</f>
        <v>Normal</v>
      </c>
    </row>
    <row r="982" spans="1:16" x14ac:dyDescent="0.25">
      <c r="A982" t="s">
        <v>1118</v>
      </c>
      <c r="B982" s="5">
        <v>46014</v>
      </c>
      <c r="C982" t="s">
        <v>75</v>
      </c>
      <c r="D982" t="s">
        <v>159</v>
      </c>
      <c r="E982" t="s">
        <v>39</v>
      </c>
      <c r="F982">
        <v>4</v>
      </c>
      <c r="G982" s="1">
        <v>440</v>
      </c>
      <c r="H982" s="1">
        <v>248</v>
      </c>
      <c r="I982" s="5">
        <v>46020</v>
      </c>
      <c r="J982" t="s">
        <v>23</v>
      </c>
      <c r="K982" t="s">
        <v>24</v>
      </c>
      <c r="L982" t="s">
        <v>25</v>
      </c>
      <c r="M982" s="1">
        <f>(orders[[#This Row],[Revenue]]-orders[[#This Row],[Cost]])</f>
        <v>192</v>
      </c>
      <c r="N982" s="8">
        <f>IFERROR(orders[[#This Row],[profit]]/orders[[#This Row],[Revenue]],0)</f>
        <v>0.43636363636363634</v>
      </c>
      <c r="O982">
        <f>IF(orders[[#This Row],[Delivery Date]]="","",(orders[[#This Row],[Delivery Date]]-orders[[#This Row],[Date]]))</f>
        <v>6</v>
      </c>
      <c r="P982" t="str">
        <f>IF(orders[[#This Row],[delivery days]]="","Not Delivered",IF(orders[[#This Row],[delivery days]]&lt;=2,"Fast",IF(orders[[#This Row],[delivery days]]&lt;=5,"Normal","Delayed")))</f>
        <v>Delayed</v>
      </c>
    </row>
    <row r="983" spans="1:16" x14ac:dyDescent="0.25">
      <c r="A983" t="s">
        <v>1119</v>
      </c>
      <c r="B983" s="5">
        <v>46015</v>
      </c>
      <c r="C983" t="s">
        <v>99</v>
      </c>
      <c r="D983" t="s">
        <v>76</v>
      </c>
      <c r="E983" t="s">
        <v>77</v>
      </c>
      <c r="F983">
        <v>3</v>
      </c>
      <c r="G983" s="1">
        <v>780</v>
      </c>
      <c r="H983" s="1">
        <v>495</v>
      </c>
      <c r="I983" s="5">
        <v>46016</v>
      </c>
      <c r="J983" t="s">
        <v>30</v>
      </c>
      <c r="K983" t="s">
        <v>17</v>
      </c>
      <c r="L983" t="s">
        <v>25</v>
      </c>
      <c r="M983" s="1">
        <f>(orders[[#This Row],[Revenue]]-orders[[#This Row],[Cost]])</f>
        <v>285</v>
      </c>
      <c r="N983" s="8">
        <f>IFERROR(orders[[#This Row],[profit]]/orders[[#This Row],[Revenue]],0)</f>
        <v>0.36538461538461536</v>
      </c>
      <c r="O983">
        <f>IF(orders[[#This Row],[Delivery Date]]="","",(orders[[#This Row],[Delivery Date]]-orders[[#This Row],[Date]]))</f>
        <v>1</v>
      </c>
      <c r="P983" t="str">
        <f>IF(orders[[#This Row],[delivery days]]="","Not Delivered",IF(orders[[#This Row],[delivery days]]&lt;=2,"Fast",IF(orders[[#This Row],[delivery days]]&lt;=5,"Normal","Delayed")))</f>
        <v>Fast</v>
      </c>
    </row>
    <row r="984" spans="1:16" x14ac:dyDescent="0.25">
      <c r="A984" t="s">
        <v>1120</v>
      </c>
      <c r="B984" s="5">
        <v>46016</v>
      </c>
      <c r="C984" t="s">
        <v>176</v>
      </c>
      <c r="D984" t="s">
        <v>163</v>
      </c>
      <c r="E984" t="s">
        <v>39</v>
      </c>
      <c r="F984">
        <v>2</v>
      </c>
      <c r="G984" s="1">
        <v>190</v>
      </c>
      <c r="H984" s="1">
        <v>104</v>
      </c>
      <c r="I984" s="5">
        <v>46019</v>
      </c>
      <c r="J984" t="s">
        <v>46</v>
      </c>
      <c r="K984" t="s">
        <v>47</v>
      </c>
      <c r="L984" t="s">
        <v>25</v>
      </c>
      <c r="M984" s="1">
        <f>(orders[[#This Row],[Revenue]]-orders[[#This Row],[Cost]])</f>
        <v>86</v>
      </c>
      <c r="N984" s="8">
        <f>IFERROR(orders[[#This Row],[profit]]/orders[[#This Row],[Revenue]],0)</f>
        <v>0.45263157894736844</v>
      </c>
      <c r="O984">
        <f>IF(orders[[#This Row],[Delivery Date]]="","",(orders[[#This Row],[Delivery Date]]-orders[[#This Row],[Date]]))</f>
        <v>3</v>
      </c>
      <c r="P984" t="str">
        <f>IF(orders[[#This Row],[delivery days]]="","Not Delivered",IF(orders[[#This Row],[delivery days]]&lt;=2,"Fast",IF(orders[[#This Row],[delivery days]]&lt;=5,"Normal","Delayed")))</f>
        <v>Normal</v>
      </c>
    </row>
    <row r="985" spans="1:16" x14ac:dyDescent="0.25">
      <c r="A985" t="s">
        <v>1121</v>
      </c>
      <c r="B985" s="5">
        <v>46017</v>
      </c>
      <c r="C985" t="s">
        <v>210</v>
      </c>
      <c r="D985" t="s">
        <v>65</v>
      </c>
      <c r="E985" t="s">
        <v>62</v>
      </c>
      <c r="F985">
        <v>2</v>
      </c>
      <c r="G985" s="1">
        <v>96</v>
      </c>
      <c r="H985" s="1">
        <v>42</v>
      </c>
      <c r="I985" s="5">
        <v>46020</v>
      </c>
      <c r="J985" t="s">
        <v>30</v>
      </c>
      <c r="K985" t="s">
        <v>17</v>
      </c>
      <c r="L985" t="s">
        <v>25</v>
      </c>
      <c r="M985" s="1">
        <f>(orders[[#This Row],[Revenue]]-orders[[#This Row],[Cost]])</f>
        <v>54</v>
      </c>
      <c r="N985" s="8">
        <f>IFERROR(orders[[#This Row],[profit]]/orders[[#This Row],[Revenue]],0)</f>
        <v>0.5625</v>
      </c>
      <c r="O985">
        <f>IF(orders[[#This Row],[Delivery Date]]="","",(orders[[#This Row],[Delivery Date]]-orders[[#This Row],[Date]]))</f>
        <v>3</v>
      </c>
      <c r="P985" t="str">
        <f>IF(orders[[#This Row],[delivery days]]="","Not Delivered",IF(orders[[#This Row],[delivery days]]&lt;=2,"Fast",IF(orders[[#This Row],[delivery days]]&lt;=5,"Normal","Delayed")))</f>
        <v>Normal</v>
      </c>
    </row>
    <row r="986" spans="1:16" x14ac:dyDescent="0.25">
      <c r="A986" t="s">
        <v>1122</v>
      </c>
      <c r="B986" s="5">
        <v>46017</v>
      </c>
      <c r="C986" t="s">
        <v>88</v>
      </c>
      <c r="D986" t="s">
        <v>159</v>
      </c>
      <c r="E986" t="s">
        <v>39</v>
      </c>
      <c r="F986">
        <v>1</v>
      </c>
      <c r="G986" s="1">
        <v>110</v>
      </c>
      <c r="H986" s="1">
        <v>62</v>
      </c>
      <c r="I986" s="5"/>
      <c r="J986" t="s">
        <v>16</v>
      </c>
      <c r="K986" t="s">
        <v>17</v>
      </c>
      <c r="L986" t="s">
        <v>103</v>
      </c>
      <c r="M986" s="1">
        <f>(orders[[#This Row],[Revenue]]-orders[[#This Row],[Cost]])</f>
        <v>48</v>
      </c>
      <c r="N986" s="8">
        <f>IFERROR(orders[[#This Row],[profit]]/orders[[#This Row],[Revenue]],0)</f>
        <v>0.43636363636363634</v>
      </c>
      <c r="O986" t="str">
        <f>IF(orders[[#This Row],[Delivery Date]]="","",(orders[[#This Row],[Delivery Date]]-orders[[#This Row],[Date]]))</f>
        <v/>
      </c>
      <c r="P986" t="str">
        <f>IF(orders[[#This Row],[delivery days]]="","Not Delivered",IF(orders[[#This Row],[delivery days]]&lt;=2,"Fast",IF(orders[[#This Row],[delivery days]]&lt;=5,"Normal","Delayed")))</f>
        <v>Not Delivered</v>
      </c>
    </row>
    <row r="987" spans="1:16" x14ac:dyDescent="0.25">
      <c r="A987" t="s">
        <v>1123</v>
      </c>
      <c r="B987" s="5">
        <v>46017</v>
      </c>
      <c r="C987" t="s">
        <v>54</v>
      </c>
      <c r="D987" t="s">
        <v>235</v>
      </c>
      <c r="E987" t="s">
        <v>15</v>
      </c>
      <c r="F987">
        <v>1</v>
      </c>
      <c r="G987" s="1">
        <v>65</v>
      </c>
      <c r="H987" s="1">
        <v>31</v>
      </c>
      <c r="I987" s="5">
        <v>46021</v>
      </c>
      <c r="J987" t="s">
        <v>23</v>
      </c>
      <c r="K987" t="s">
        <v>24</v>
      </c>
      <c r="L987" t="s">
        <v>25</v>
      </c>
      <c r="M987" s="1">
        <f>(orders[[#This Row],[Revenue]]-orders[[#This Row],[Cost]])</f>
        <v>34</v>
      </c>
      <c r="N987" s="8">
        <f>IFERROR(orders[[#This Row],[profit]]/orders[[#This Row],[Revenue]],0)</f>
        <v>0.52307692307692311</v>
      </c>
      <c r="O987">
        <f>IF(orders[[#This Row],[Delivery Date]]="","",(orders[[#This Row],[Delivery Date]]-orders[[#This Row],[Date]]))</f>
        <v>4</v>
      </c>
      <c r="P987" t="str">
        <f>IF(orders[[#This Row],[delivery days]]="","Not Delivered",IF(orders[[#This Row],[delivery days]]&lt;=2,"Fast",IF(orders[[#This Row],[delivery days]]&lt;=5,"Normal","Delayed")))</f>
        <v>Normal</v>
      </c>
    </row>
    <row r="988" spans="1:16" x14ac:dyDescent="0.25">
      <c r="A988" t="s">
        <v>1124</v>
      </c>
      <c r="B988" s="5">
        <v>46017</v>
      </c>
      <c r="C988" t="s">
        <v>171</v>
      </c>
      <c r="D988" t="s">
        <v>150</v>
      </c>
      <c r="E988" t="s">
        <v>77</v>
      </c>
      <c r="F988">
        <v>2</v>
      </c>
      <c r="G988" s="1">
        <v>170</v>
      </c>
      <c r="H988" s="1">
        <v>88</v>
      </c>
      <c r="I988" s="5">
        <v>46019</v>
      </c>
      <c r="J988" t="s">
        <v>23</v>
      </c>
      <c r="K988" t="s">
        <v>17</v>
      </c>
      <c r="L988" t="s">
        <v>25</v>
      </c>
      <c r="M988" s="1">
        <f>(orders[[#This Row],[Revenue]]-orders[[#This Row],[Cost]])</f>
        <v>82</v>
      </c>
      <c r="N988" s="8">
        <f>IFERROR(orders[[#This Row],[profit]]/orders[[#This Row],[Revenue]],0)</f>
        <v>0.4823529411764706</v>
      </c>
      <c r="O988">
        <f>IF(orders[[#This Row],[Delivery Date]]="","",(orders[[#This Row],[Delivery Date]]-orders[[#This Row],[Date]]))</f>
        <v>2</v>
      </c>
      <c r="P988" t="str">
        <f>IF(orders[[#This Row],[delivery days]]="","Not Delivered",IF(orders[[#This Row],[delivery days]]&lt;=2,"Fast",IF(orders[[#This Row],[delivery days]]&lt;=5,"Normal","Delayed")))</f>
        <v>Fast</v>
      </c>
    </row>
    <row r="989" spans="1:16" x14ac:dyDescent="0.25">
      <c r="A989" t="s">
        <v>1125</v>
      </c>
      <c r="B989" s="5">
        <v>46018</v>
      </c>
      <c r="C989" t="s">
        <v>137</v>
      </c>
      <c r="D989" t="s">
        <v>65</v>
      </c>
      <c r="E989" t="s">
        <v>62</v>
      </c>
      <c r="F989">
        <v>2</v>
      </c>
      <c r="G989" s="1">
        <v>96</v>
      </c>
      <c r="H989" s="1">
        <v>42.84</v>
      </c>
      <c r="I989" s="5">
        <v>46022</v>
      </c>
      <c r="J989" t="s">
        <v>30</v>
      </c>
      <c r="K989" t="s">
        <v>17</v>
      </c>
      <c r="L989" t="s">
        <v>25</v>
      </c>
      <c r="M989" s="1">
        <f>(orders[[#This Row],[Revenue]]-orders[[#This Row],[Cost]])</f>
        <v>53.16</v>
      </c>
      <c r="N989" s="8">
        <f>IFERROR(orders[[#This Row],[profit]]/orders[[#This Row],[Revenue]],0)</f>
        <v>0.55374999999999996</v>
      </c>
      <c r="O989">
        <f>IF(orders[[#This Row],[Delivery Date]]="","",(orders[[#This Row],[Delivery Date]]-orders[[#This Row],[Date]]))</f>
        <v>4</v>
      </c>
      <c r="P989" t="str">
        <f>IF(orders[[#This Row],[delivery days]]="","Not Delivered",IF(orders[[#This Row],[delivery days]]&lt;=2,"Fast",IF(orders[[#This Row],[delivery days]]&lt;=5,"Normal","Delayed")))</f>
        <v>Normal</v>
      </c>
    </row>
    <row r="990" spans="1:16" x14ac:dyDescent="0.25">
      <c r="A990" t="s">
        <v>1126</v>
      </c>
      <c r="B990" s="5">
        <v>46018</v>
      </c>
      <c r="C990" t="s">
        <v>181</v>
      </c>
      <c r="D990" t="s">
        <v>45</v>
      </c>
      <c r="E990" t="s">
        <v>34</v>
      </c>
      <c r="F990">
        <v>1</v>
      </c>
      <c r="G990" s="1">
        <v>69.84</v>
      </c>
      <c r="H990" s="1">
        <v>31</v>
      </c>
      <c r="I990" s="5">
        <v>46020</v>
      </c>
      <c r="J990" t="s">
        <v>46</v>
      </c>
      <c r="K990" t="s">
        <v>24</v>
      </c>
      <c r="L990" t="s">
        <v>25</v>
      </c>
      <c r="M990" s="1">
        <f>(orders[[#This Row],[Revenue]]-orders[[#This Row],[Cost]])</f>
        <v>38.840000000000003</v>
      </c>
      <c r="N990" s="8">
        <f>IFERROR(orders[[#This Row],[profit]]/orders[[#This Row],[Revenue]],0)</f>
        <v>0.55612829324169533</v>
      </c>
      <c r="O990">
        <f>IF(orders[[#This Row],[Delivery Date]]="","",(orders[[#This Row],[Delivery Date]]-orders[[#This Row],[Date]]))</f>
        <v>2</v>
      </c>
      <c r="P990" t="str">
        <f>IF(orders[[#This Row],[delivery days]]="","Not Delivered",IF(orders[[#This Row],[delivery days]]&lt;=2,"Fast",IF(orders[[#This Row],[delivery days]]&lt;=5,"Normal","Delayed")))</f>
        <v>Fast</v>
      </c>
    </row>
    <row r="991" spans="1:16" x14ac:dyDescent="0.25">
      <c r="A991" t="s">
        <v>1127</v>
      </c>
      <c r="B991" s="5">
        <v>46018</v>
      </c>
      <c r="C991" t="s">
        <v>487</v>
      </c>
      <c r="D991" t="s">
        <v>70</v>
      </c>
      <c r="E991" t="s">
        <v>62</v>
      </c>
      <c r="F991">
        <v>3</v>
      </c>
      <c r="G991" s="1">
        <v>417.15</v>
      </c>
      <c r="H991" s="1">
        <v>229.32</v>
      </c>
      <c r="I991" s="5">
        <v>46021</v>
      </c>
      <c r="J991" t="s">
        <v>30</v>
      </c>
      <c r="K991" t="s">
        <v>17</v>
      </c>
      <c r="L991" t="s">
        <v>25</v>
      </c>
      <c r="M991" s="1">
        <f>(orders[[#This Row],[Revenue]]-orders[[#This Row],[Cost]])</f>
        <v>187.82999999999998</v>
      </c>
      <c r="N991" s="8">
        <f>IFERROR(orders[[#This Row],[profit]]/orders[[#This Row],[Revenue]],0)</f>
        <v>0.45026968716289101</v>
      </c>
      <c r="O991">
        <f>IF(orders[[#This Row],[Delivery Date]]="","",(orders[[#This Row],[Delivery Date]]-orders[[#This Row],[Date]]))</f>
        <v>3</v>
      </c>
      <c r="P991" t="str">
        <f>IF(orders[[#This Row],[delivery days]]="","Not Delivered",IF(orders[[#This Row],[delivery days]]&lt;=2,"Fast",IF(orders[[#This Row],[delivery days]]&lt;=5,"Normal","Delayed")))</f>
        <v>Normal</v>
      </c>
    </row>
    <row r="992" spans="1:16" x14ac:dyDescent="0.25">
      <c r="A992" t="s">
        <v>1128</v>
      </c>
      <c r="B992" s="5">
        <v>46019</v>
      </c>
      <c r="C992" t="s">
        <v>487</v>
      </c>
      <c r="D992" t="s">
        <v>58</v>
      </c>
      <c r="E992" t="s">
        <v>39</v>
      </c>
      <c r="F992">
        <v>1</v>
      </c>
      <c r="G992" s="1">
        <v>1250</v>
      </c>
      <c r="H992" s="1">
        <v>882</v>
      </c>
      <c r="I992" s="5">
        <v>46021</v>
      </c>
      <c r="J992" t="s">
        <v>30</v>
      </c>
      <c r="K992" t="s">
        <v>35</v>
      </c>
      <c r="L992" t="s">
        <v>25</v>
      </c>
      <c r="M992" s="1">
        <f>(orders[[#This Row],[Revenue]]-orders[[#This Row],[Cost]])</f>
        <v>368</v>
      </c>
      <c r="N992" s="8">
        <f>IFERROR(orders[[#This Row],[profit]]/orders[[#This Row],[Revenue]],0)</f>
        <v>0.2944</v>
      </c>
      <c r="O992">
        <f>IF(orders[[#This Row],[Delivery Date]]="","",(orders[[#This Row],[Delivery Date]]-orders[[#This Row],[Date]]))</f>
        <v>2</v>
      </c>
      <c r="P992" t="str">
        <f>IF(orders[[#This Row],[delivery days]]="","Not Delivered",IF(orders[[#This Row],[delivery days]]&lt;=2,"Fast",IF(orders[[#This Row],[delivery days]]&lt;=5,"Normal","Delayed")))</f>
        <v>Fast</v>
      </c>
    </row>
    <row r="993" spans="1:16" x14ac:dyDescent="0.25">
      <c r="A993" t="s">
        <v>1129</v>
      </c>
      <c r="B993" s="5">
        <v>46020</v>
      </c>
      <c r="C993" t="s">
        <v>64</v>
      </c>
      <c r="D993" t="s">
        <v>208</v>
      </c>
      <c r="E993" t="s">
        <v>15</v>
      </c>
      <c r="F993">
        <v>1</v>
      </c>
      <c r="G993" s="1">
        <v>126.1</v>
      </c>
      <c r="H993" s="1">
        <v>74.48</v>
      </c>
      <c r="I993" s="5">
        <v>46026</v>
      </c>
      <c r="J993" t="s">
        <v>52</v>
      </c>
      <c r="K993" t="s">
        <v>47</v>
      </c>
      <c r="L993" t="s">
        <v>25</v>
      </c>
      <c r="M993" s="1">
        <f>(orders[[#This Row],[Revenue]]-orders[[#This Row],[Cost]])</f>
        <v>51.61999999999999</v>
      </c>
      <c r="N993" s="8">
        <f>IFERROR(orders[[#This Row],[profit]]/orders[[#This Row],[Revenue]],0)</f>
        <v>0.40935765265662166</v>
      </c>
      <c r="O993">
        <f>IF(orders[[#This Row],[Delivery Date]]="","",(orders[[#This Row],[Delivery Date]]-orders[[#This Row],[Date]]))</f>
        <v>6</v>
      </c>
      <c r="P993" t="str">
        <f>IF(orders[[#This Row],[delivery days]]="","Not Delivered",IF(orders[[#This Row],[delivery days]]&lt;=2,"Fast",IF(orders[[#This Row],[delivery days]]&lt;=5,"Normal","Delayed")))</f>
        <v>Delayed</v>
      </c>
    </row>
    <row r="994" spans="1:16" x14ac:dyDescent="0.25">
      <c r="A994" t="s">
        <v>1130</v>
      </c>
      <c r="B994" s="5">
        <v>46020</v>
      </c>
      <c r="C994" t="s">
        <v>90</v>
      </c>
      <c r="D994" t="s">
        <v>219</v>
      </c>
      <c r="E994" t="s">
        <v>34</v>
      </c>
      <c r="F994">
        <v>2</v>
      </c>
      <c r="G994" s="1">
        <v>56</v>
      </c>
      <c r="H994" s="1">
        <v>22</v>
      </c>
      <c r="I994" s="5">
        <v>46022</v>
      </c>
      <c r="J994" t="s">
        <v>30</v>
      </c>
      <c r="K994" t="s">
        <v>35</v>
      </c>
      <c r="L994" t="s">
        <v>25</v>
      </c>
      <c r="M994" s="1">
        <f>(orders[[#This Row],[Revenue]]-orders[[#This Row],[Cost]])</f>
        <v>34</v>
      </c>
      <c r="N994" s="8">
        <f>IFERROR(orders[[#This Row],[profit]]/orders[[#This Row],[Revenue]],0)</f>
        <v>0.6071428571428571</v>
      </c>
      <c r="O994">
        <f>IF(orders[[#This Row],[Delivery Date]]="","",(orders[[#This Row],[Delivery Date]]-orders[[#This Row],[Date]]))</f>
        <v>2</v>
      </c>
      <c r="P994" t="str">
        <f>IF(orders[[#This Row],[delivery days]]="","Not Delivered",IF(orders[[#This Row],[delivery days]]&lt;=2,"Fast",IF(orders[[#This Row],[delivery days]]&lt;=5,"Normal","Delayed")))</f>
        <v>Fast</v>
      </c>
    </row>
    <row r="995" spans="1:16" x14ac:dyDescent="0.25">
      <c r="A995" t="s">
        <v>1131</v>
      </c>
      <c r="B995" s="5">
        <v>46020</v>
      </c>
      <c r="C995" t="s">
        <v>32</v>
      </c>
      <c r="D995" t="s">
        <v>113</v>
      </c>
      <c r="E995" t="s">
        <v>15</v>
      </c>
      <c r="F995">
        <v>1</v>
      </c>
      <c r="G995" s="1">
        <v>97.85</v>
      </c>
      <c r="H995" s="1">
        <v>48</v>
      </c>
      <c r="I995" s="5">
        <v>46022</v>
      </c>
      <c r="J995" t="s">
        <v>16</v>
      </c>
      <c r="K995" t="s">
        <v>17</v>
      </c>
      <c r="L995" t="s">
        <v>25</v>
      </c>
      <c r="M995" s="1">
        <f>(orders[[#This Row],[Revenue]]-orders[[#This Row],[Cost]])</f>
        <v>49.849999999999994</v>
      </c>
      <c r="N995" s="8">
        <f>IFERROR(orders[[#This Row],[profit]]/orders[[#This Row],[Revenue]],0)</f>
        <v>0.5094532447623914</v>
      </c>
      <c r="O995">
        <f>IF(orders[[#This Row],[Delivery Date]]="","",(orders[[#This Row],[Delivery Date]]-orders[[#This Row],[Date]]))</f>
        <v>2</v>
      </c>
      <c r="P995" t="str">
        <f>IF(orders[[#This Row],[delivery days]]="","Not Delivered",IF(orders[[#This Row],[delivery days]]&lt;=2,"Fast",IF(orders[[#This Row],[delivery days]]&lt;=5,"Normal","Delayed")))</f>
        <v>Fast</v>
      </c>
    </row>
    <row r="996" spans="1:16" x14ac:dyDescent="0.25">
      <c r="A996" t="s">
        <v>1132</v>
      </c>
      <c r="B996" s="5">
        <v>46021</v>
      </c>
      <c r="C996" t="s">
        <v>176</v>
      </c>
      <c r="D996" t="s">
        <v>119</v>
      </c>
      <c r="E996" t="s">
        <v>39</v>
      </c>
      <c r="F996">
        <v>2</v>
      </c>
      <c r="G996" s="1">
        <v>110</v>
      </c>
      <c r="H996" s="1">
        <v>56</v>
      </c>
      <c r="I996" s="5">
        <v>46026</v>
      </c>
      <c r="J996" t="s">
        <v>101</v>
      </c>
      <c r="K996" t="s">
        <v>35</v>
      </c>
      <c r="L996" t="s">
        <v>25</v>
      </c>
      <c r="M996" s="1">
        <f>(orders[[#This Row],[Revenue]]-orders[[#This Row],[Cost]])</f>
        <v>54</v>
      </c>
      <c r="N996" s="8">
        <f>IFERROR(orders[[#This Row],[profit]]/orders[[#This Row],[Revenue]],0)</f>
        <v>0.49090909090909091</v>
      </c>
      <c r="O996">
        <f>IF(orders[[#This Row],[Delivery Date]]="","",(orders[[#This Row],[Delivery Date]]-orders[[#This Row],[Date]]))</f>
        <v>5</v>
      </c>
      <c r="P996" t="str">
        <f>IF(orders[[#This Row],[delivery days]]="","Not Delivered",IF(orders[[#This Row],[delivery days]]&lt;=2,"Fast",IF(orders[[#This Row],[delivery days]]&lt;=5,"Normal","Delayed")))</f>
        <v>Normal</v>
      </c>
    </row>
    <row r="997" spans="1:16" x14ac:dyDescent="0.25">
      <c r="A997" t="s">
        <v>1133</v>
      </c>
      <c r="B997" s="5">
        <v>46022</v>
      </c>
      <c r="C997" t="s">
        <v>176</v>
      </c>
      <c r="D997" t="s">
        <v>65</v>
      </c>
      <c r="E997" t="s">
        <v>62</v>
      </c>
      <c r="F997">
        <v>1</v>
      </c>
      <c r="G997" s="1">
        <v>49.44</v>
      </c>
      <c r="H997" s="1">
        <v>21</v>
      </c>
      <c r="I997" s="5">
        <v>46024</v>
      </c>
      <c r="J997" t="s">
        <v>30</v>
      </c>
      <c r="K997" t="s">
        <v>35</v>
      </c>
      <c r="L997" t="s">
        <v>25</v>
      </c>
      <c r="M997" s="1">
        <f>(orders[[#This Row],[Revenue]]-orders[[#This Row],[Cost]])</f>
        <v>28.439999999999998</v>
      </c>
      <c r="N997" s="8">
        <f>IFERROR(orders[[#This Row],[profit]]/orders[[#This Row],[Revenue]],0)</f>
        <v>0.57524271844660191</v>
      </c>
      <c r="O997">
        <f>IF(orders[[#This Row],[Delivery Date]]="","",(orders[[#This Row],[Delivery Date]]-orders[[#This Row],[Date]]))</f>
        <v>2</v>
      </c>
      <c r="P997" t="str">
        <f>IF(orders[[#This Row],[delivery days]]="","Not Delivered",IF(orders[[#This Row],[delivery days]]&lt;=2,"Fast",IF(orders[[#This Row],[delivery days]]&lt;=5,"Normal","Delayed")))</f>
        <v>Fast</v>
      </c>
    </row>
    <row r="998" spans="1:16" x14ac:dyDescent="0.25">
      <c r="A998" t="s">
        <v>1134</v>
      </c>
      <c r="B998" s="5">
        <v>46022</v>
      </c>
      <c r="C998" t="s">
        <v>32</v>
      </c>
      <c r="D998" t="s">
        <v>308</v>
      </c>
      <c r="E998" t="s">
        <v>22</v>
      </c>
      <c r="F998">
        <v>1</v>
      </c>
      <c r="G998" s="1">
        <v>72.75</v>
      </c>
      <c r="H998" s="1">
        <v>33.32</v>
      </c>
      <c r="I998" s="5">
        <v>46026</v>
      </c>
      <c r="J998" t="s">
        <v>16</v>
      </c>
      <c r="K998" t="s">
        <v>17</v>
      </c>
      <c r="L998" t="s">
        <v>25</v>
      </c>
      <c r="M998" s="1">
        <f>(orders[[#This Row],[Revenue]]-orders[[#This Row],[Cost]])</f>
        <v>39.43</v>
      </c>
      <c r="N998" s="8">
        <f>IFERROR(orders[[#This Row],[profit]]/orders[[#This Row],[Revenue]],0)</f>
        <v>0.54199312714776637</v>
      </c>
      <c r="O998">
        <f>IF(orders[[#This Row],[Delivery Date]]="","",(orders[[#This Row],[Delivery Date]]-orders[[#This Row],[Date]]))</f>
        <v>4</v>
      </c>
      <c r="P998" t="str">
        <f>IF(orders[[#This Row],[delivery days]]="","Not Delivered",IF(orders[[#This Row],[delivery days]]&lt;=2,"Fast",IF(orders[[#This Row],[delivery days]]&lt;=5,"Normal","Delayed")))</f>
        <v>Normal</v>
      </c>
    </row>
    <row r="999" spans="1:16" x14ac:dyDescent="0.25">
      <c r="A999" t="s">
        <v>1135</v>
      </c>
      <c r="B999" s="5">
        <v>46022</v>
      </c>
      <c r="C999" t="s">
        <v>184</v>
      </c>
      <c r="D999" t="s">
        <v>135</v>
      </c>
      <c r="E999" t="s">
        <v>62</v>
      </c>
      <c r="F999">
        <v>2</v>
      </c>
      <c r="G999" s="1">
        <v>248.4</v>
      </c>
      <c r="H999" s="1">
        <v>126</v>
      </c>
      <c r="I999" s="5"/>
      <c r="J999" t="s">
        <v>30</v>
      </c>
      <c r="K999" t="s">
        <v>35</v>
      </c>
      <c r="L999" t="s">
        <v>42</v>
      </c>
      <c r="M999" s="1">
        <f>(orders[[#This Row],[Revenue]]-orders[[#This Row],[Cost]])</f>
        <v>122.4</v>
      </c>
      <c r="N999" s="8">
        <f>IFERROR(orders[[#This Row],[profit]]/orders[[#This Row],[Revenue]],0)</f>
        <v>0.49275362318840582</v>
      </c>
      <c r="O999" t="str">
        <f>IF(orders[[#This Row],[Delivery Date]]="","",(orders[[#This Row],[Delivery Date]]-orders[[#This Row],[Date]]))</f>
        <v/>
      </c>
      <c r="P999" t="str">
        <f>IF(orders[[#This Row],[delivery days]]="","Not Delivered",IF(orders[[#This Row],[delivery days]]&lt;=2,"Fast",IF(orders[[#This Row],[delivery days]]&lt;=5,"Normal","Delayed")))</f>
        <v>Not Delivered</v>
      </c>
    </row>
    <row r="1000" spans="1:16" x14ac:dyDescent="0.25">
      <c r="A1000" t="s">
        <v>1136</v>
      </c>
      <c r="B1000" s="5">
        <v>46022</v>
      </c>
      <c r="C1000" t="s">
        <v>82</v>
      </c>
      <c r="D1000" t="s">
        <v>38</v>
      </c>
      <c r="E1000" t="s">
        <v>39</v>
      </c>
      <c r="F1000">
        <v>1</v>
      </c>
      <c r="G1000" s="1">
        <v>824.5</v>
      </c>
      <c r="H1000" s="1">
        <v>610</v>
      </c>
      <c r="I1000" s="5">
        <v>46025</v>
      </c>
      <c r="J1000" t="s">
        <v>101</v>
      </c>
      <c r="K1000" t="s">
        <v>35</v>
      </c>
      <c r="L1000" t="s">
        <v>25</v>
      </c>
      <c r="M1000" s="1">
        <f>(orders[[#This Row],[Revenue]]-orders[[#This Row],[Cost]])</f>
        <v>214.5</v>
      </c>
      <c r="N1000" s="8">
        <f>IFERROR(orders[[#This Row],[profit]]/orders[[#This Row],[Revenue]],0)</f>
        <v>0.26015767131594908</v>
      </c>
      <c r="O1000">
        <f>IF(orders[[#This Row],[Delivery Date]]="","",(orders[[#This Row],[Delivery Date]]-orders[[#This Row],[Date]]))</f>
        <v>3</v>
      </c>
      <c r="P1000" t="str">
        <f>IF(orders[[#This Row],[delivery days]]="","Not Delivered",IF(orders[[#This Row],[delivery days]]&lt;=2,"Fast",IF(orders[[#This Row],[delivery days]]&lt;=5,"Normal","Delayed")))</f>
        <v>Normal</v>
      </c>
    </row>
    <row r="1001" spans="1:16" x14ac:dyDescent="0.25">
      <c r="A1001" t="s">
        <v>1137</v>
      </c>
      <c r="B1001" s="5">
        <v>46022</v>
      </c>
      <c r="C1001" t="s">
        <v>116</v>
      </c>
      <c r="D1001" t="s">
        <v>127</v>
      </c>
      <c r="E1001" t="s">
        <v>29</v>
      </c>
      <c r="F1001">
        <v>1</v>
      </c>
      <c r="G1001" s="1">
        <v>16.559999999999999</v>
      </c>
      <c r="H1001" s="1">
        <v>5.88</v>
      </c>
      <c r="I1001" s="5">
        <v>46024</v>
      </c>
      <c r="J1001" t="s">
        <v>30</v>
      </c>
      <c r="K1001" t="s">
        <v>35</v>
      </c>
      <c r="L1001" t="s">
        <v>25</v>
      </c>
      <c r="M1001" s="1">
        <f>(orders[[#This Row],[Revenue]]-orders[[#This Row],[Cost]])</f>
        <v>10.68</v>
      </c>
      <c r="N1001" s="8">
        <f>IFERROR(orders[[#This Row],[profit]]/orders[[#This Row],[Revenue]],0)</f>
        <v>0.64492753623188404</v>
      </c>
      <c r="O1001">
        <f>IF(orders[[#This Row],[Delivery Date]]="","",(orders[[#This Row],[Delivery Date]]-orders[[#This Row],[Date]]))</f>
        <v>2</v>
      </c>
      <c r="P1001" t="str">
        <f>IF(orders[[#This Row],[delivery days]]="","Not Delivered",IF(orders[[#This Row],[delivery days]]&lt;=2,"Fast",IF(orders[[#This Row],[delivery days]]&lt;=5,"Normal","Delayed")))</f>
        <v>Fast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70" customWidth="1"/>
  </cols>
  <sheetData>
    <row r="1" spans="1:2" x14ac:dyDescent="0.25">
      <c r="A1" s="2" t="s">
        <v>1138</v>
      </c>
      <c r="B1" s="2" t="s">
        <v>1139</v>
      </c>
    </row>
    <row r="2" spans="1:2" x14ac:dyDescent="0.25">
      <c r="A2" t="s">
        <v>0</v>
      </c>
      <c r="B2" t="s">
        <v>1140</v>
      </c>
    </row>
    <row r="3" spans="1:2" x14ac:dyDescent="0.25">
      <c r="A3" t="s">
        <v>1</v>
      </c>
      <c r="B3" t="s">
        <v>1141</v>
      </c>
    </row>
    <row r="4" spans="1:2" x14ac:dyDescent="0.25">
      <c r="A4" t="s">
        <v>2</v>
      </c>
      <c r="B4" t="s">
        <v>1142</v>
      </c>
    </row>
    <row r="5" spans="1:2" x14ac:dyDescent="0.25">
      <c r="A5" t="s">
        <v>3</v>
      </c>
      <c r="B5" t="s">
        <v>1143</v>
      </c>
    </row>
    <row r="6" spans="1:2" x14ac:dyDescent="0.25">
      <c r="A6" t="s">
        <v>4</v>
      </c>
      <c r="B6" t="s">
        <v>1144</v>
      </c>
    </row>
    <row r="7" spans="1:2" x14ac:dyDescent="0.25">
      <c r="A7" t="s">
        <v>5</v>
      </c>
      <c r="B7" t="s">
        <v>1145</v>
      </c>
    </row>
    <row r="8" spans="1:2" x14ac:dyDescent="0.25">
      <c r="A8" t="s">
        <v>6</v>
      </c>
      <c r="B8" t="s">
        <v>1146</v>
      </c>
    </row>
    <row r="9" spans="1:2" x14ac:dyDescent="0.25">
      <c r="A9" t="s">
        <v>7</v>
      </c>
      <c r="B9" t="s">
        <v>1147</v>
      </c>
    </row>
    <row r="10" spans="1:2" x14ac:dyDescent="0.25">
      <c r="A10" t="s">
        <v>8</v>
      </c>
      <c r="B10" t="s">
        <v>1148</v>
      </c>
    </row>
    <row r="11" spans="1:2" x14ac:dyDescent="0.25">
      <c r="A11" t="s">
        <v>9</v>
      </c>
      <c r="B11" t="s">
        <v>1149</v>
      </c>
    </row>
    <row r="12" spans="1:2" x14ac:dyDescent="0.25">
      <c r="A12" t="s">
        <v>10</v>
      </c>
      <c r="B12" t="s">
        <v>1150</v>
      </c>
    </row>
    <row r="13" spans="1:2" x14ac:dyDescent="0.25">
      <c r="A13" t="s">
        <v>11</v>
      </c>
      <c r="B13" t="s">
        <v>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ERTAN IRGE</cp:lastModifiedBy>
  <dcterms:created xsi:type="dcterms:W3CDTF">2026-08-20T12:42:01Z</dcterms:created>
  <dcterms:modified xsi:type="dcterms:W3CDTF">2026-08-21T17:24:13Z</dcterms:modified>
</cp:coreProperties>
</file>